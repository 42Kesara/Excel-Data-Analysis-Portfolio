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ARA\Desktop\"/>
    </mc:Choice>
  </mc:AlternateContent>
  <xr:revisionPtr revIDLastSave="0" documentId="13_ncr:1_{5B902F40-A218-4018-8536-8514C666111A}" xr6:coauthVersionLast="47" xr6:coauthVersionMax="47" xr10:uidLastSave="{00000000-0000-0000-0000-000000000000}"/>
  <bookViews>
    <workbookView xWindow="-108" yWindow="-108" windowWidth="23256" windowHeight="12720" firstSheet="2" activeTab="7" xr2:uid="{A13A766C-24F5-49A7-AA2A-3FE008D64496}"/>
  </bookViews>
  <sheets>
    <sheet name="OT" sheetId="1" r:id="rId1"/>
    <sheet name="School Marking Sheet" sheetId="2" r:id="rId2"/>
    <sheet name="Decision Chart" sheetId="3" r:id="rId3"/>
    <sheet name="Sales Report" sheetId="5" r:id="rId4"/>
    <sheet name="Pivot table" sheetId="8" r:id="rId5"/>
    <sheet name="car inventory" sheetId="9" r:id="rId6"/>
    <sheet name="P2" sheetId="10" r:id="rId7"/>
    <sheet name="SI" sheetId="11" r:id="rId8"/>
  </sheets>
  <definedNames>
    <definedName name="_xlnm._FilterDatabase" localSheetId="3" hidden="1">'Sales Report'!$A$1:$K$176</definedName>
  </definedNames>
  <calcPr calcId="181029" concurrentCalc="0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9" l="1"/>
  <c r="D2" i="9"/>
  <c r="M2" i="9"/>
  <c r="N2" i="9"/>
  <c r="B2" i="9"/>
  <c r="F2" i="9"/>
  <c r="H3" i="5"/>
  <c r="E5" i="11"/>
  <c r="F5" i="11"/>
  <c r="G5" i="11"/>
  <c r="E4" i="11"/>
  <c r="F4" i="11"/>
  <c r="G4" i="11"/>
  <c r="E3" i="11"/>
  <c r="F3" i="11"/>
  <c r="G3" i="11"/>
  <c r="E2" i="11"/>
  <c r="F2" i="11"/>
  <c r="G2" i="11"/>
  <c r="B53" i="9"/>
  <c r="F53" i="9"/>
  <c r="D53" i="9"/>
  <c r="N53" i="9"/>
  <c r="M53" i="9"/>
  <c r="G53" i="9"/>
  <c r="I53" i="9"/>
  <c r="E53" i="9"/>
  <c r="C53" i="9"/>
  <c r="B52" i="9"/>
  <c r="F52" i="9"/>
  <c r="D52" i="9"/>
  <c r="N52" i="9"/>
  <c r="M52" i="9"/>
  <c r="G52" i="9"/>
  <c r="I52" i="9"/>
  <c r="E52" i="9"/>
  <c r="C52" i="9"/>
  <c r="B51" i="9"/>
  <c r="F51" i="9"/>
  <c r="D51" i="9"/>
  <c r="N51" i="9"/>
  <c r="M51" i="9"/>
  <c r="G51" i="9"/>
  <c r="I51" i="9"/>
  <c r="E51" i="9"/>
  <c r="C51" i="9"/>
  <c r="B50" i="9"/>
  <c r="F50" i="9"/>
  <c r="D50" i="9"/>
  <c r="N50" i="9"/>
  <c r="M50" i="9"/>
  <c r="G50" i="9"/>
  <c r="I50" i="9"/>
  <c r="E50" i="9"/>
  <c r="C50" i="9"/>
  <c r="B49" i="9"/>
  <c r="F49" i="9"/>
  <c r="D49" i="9"/>
  <c r="N49" i="9"/>
  <c r="M49" i="9"/>
  <c r="G49" i="9"/>
  <c r="I49" i="9"/>
  <c r="E49" i="9"/>
  <c r="C49" i="9"/>
  <c r="B48" i="9"/>
  <c r="F48" i="9"/>
  <c r="D48" i="9"/>
  <c r="N48" i="9"/>
  <c r="M48" i="9"/>
  <c r="G48" i="9"/>
  <c r="I48" i="9"/>
  <c r="E48" i="9"/>
  <c r="C48" i="9"/>
  <c r="B47" i="9"/>
  <c r="F47" i="9"/>
  <c r="D47" i="9"/>
  <c r="N47" i="9"/>
  <c r="M47" i="9"/>
  <c r="G47" i="9"/>
  <c r="I47" i="9"/>
  <c r="E47" i="9"/>
  <c r="C47" i="9"/>
  <c r="B46" i="9"/>
  <c r="F46" i="9"/>
  <c r="D46" i="9"/>
  <c r="N46" i="9"/>
  <c r="M46" i="9"/>
  <c r="G46" i="9"/>
  <c r="I46" i="9"/>
  <c r="E46" i="9"/>
  <c r="C46" i="9"/>
  <c r="B45" i="9"/>
  <c r="F45" i="9"/>
  <c r="D45" i="9"/>
  <c r="N45" i="9"/>
  <c r="M45" i="9"/>
  <c r="G45" i="9"/>
  <c r="I45" i="9"/>
  <c r="E45" i="9"/>
  <c r="C45" i="9"/>
  <c r="B44" i="9"/>
  <c r="F44" i="9"/>
  <c r="D44" i="9"/>
  <c r="N44" i="9"/>
  <c r="M44" i="9"/>
  <c r="G44" i="9"/>
  <c r="I44" i="9"/>
  <c r="E44" i="9"/>
  <c r="C44" i="9"/>
  <c r="B43" i="9"/>
  <c r="F43" i="9"/>
  <c r="D43" i="9"/>
  <c r="N43" i="9"/>
  <c r="M43" i="9"/>
  <c r="G43" i="9"/>
  <c r="I43" i="9"/>
  <c r="E43" i="9"/>
  <c r="C43" i="9"/>
  <c r="B42" i="9"/>
  <c r="F42" i="9"/>
  <c r="D42" i="9"/>
  <c r="N42" i="9"/>
  <c r="M42" i="9"/>
  <c r="G42" i="9"/>
  <c r="I42" i="9"/>
  <c r="E42" i="9"/>
  <c r="C42" i="9"/>
  <c r="B41" i="9"/>
  <c r="F41" i="9"/>
  <c r="D41" i="9"/>
  <c r="N41" i="9"/>
  <c r="M41" i="9"/>
  <c r="G41" i="9"/>
  <c r="I41" i="9"/>
  <c r="E41" i="9"/>
  <c r="C41" i="9"/>
  <c r="B40" i="9"/>
  <c r="F40" i="9"/>
  <c r="D40" i="9"/>
  <c r="N40" i="9"/>
  <c r="M40" i="9"/>
  <c r="G40" i="9"/>
  <c r="I40" i="9"/>
  <c r="E40" i="9"/>
  <c r="C40" i="9"/>
  <c r="B39" i="9"/>
  <c r="F39" i="9"/>
  <c r="D39" i="9"/>
  <c r="N39" i="9"/>
  <c r="M39" i="9"/>
  <c r="G39" i="9"/>
  <c r="I39" i="9"/>
  <c r="E39" i="9"/>
  <c r="C39" i="9"/>
  <c r="B38" i="9"/>
  <c r="F38" i="9"/>
  <c r="D38" i="9"/>
  <c r="N38" i="9"/>
  <c r="M38" i="9"/>
  <c r="G38" i="9"/>
  <c r="I38" i="9"/>
  <c r="E38" i="9"/>
  <c r="C38" i="9"/>
  <c r="B37" i="9"/>
  <c r="F37" i="9"/>
  <c r="D37" i="9"/>
  <c r="N37" i="9"/>
  <c r="M37" i="9"/>
  <c r="G37" i="9"/>
  <c r="I37" i="9"/>
  <c r="E37" i="9"/>
  <c r="C37" i="9"/>
  <c r="B36" i="9"/>
  <c r="F36" i="9"/>
  <c r="D36" i="9"/>
  <c r="N36" i="9"/>
  <c r="M36" i="9"/>
  <c r="G36" i="9"/>
  <c r="I36" i="9"/>
  <c r="E36" i="9"/>
  <c r="C36" i="9"/>
  <c r="B35" i="9"/>
  <c r="F35" i="9"/>
  <c r="D35" i="9"/>
  <c r="N35" i="9"/>
  <c r="M35" i="9"/>
  <c r="G35" i="9"/>
  <c r="I35" i="9"/>
  <c r="E35" i="9"/>
  <c r="C35" i="9"/>
  <c r="B34" i="9"/>
  <c r="F34" i="9"/>
  <c r="D34" i="9"/>
  <c r="N34" i="9"/>
  <c r="M34" i="9"/>
  <c r="G34" i="9"/>
  <c r="I34" i="9"/>
  <c r="E34" i="9"/>
  <c r="C34" i="9"/>
  <c r="B33" i="9"/>
  <c r="F33" i="9"/>
  <c r="D33" i="9"/>
  <c r="N33" i="9"/>
  <c r="M33" i="9"/>
  <c r="G33" i="9"/>
  <c r="I33" i="9"/>
  <c r="E33" i="9"/>
  <c r="C33" i="9"/>
  <c r="B32" i="9"/>
  <c r="F32" i="9"/>
  <c r="D32" i="9"/>
  <c r="N32" i="9"/>
  <c r="M32" i="9"/>
  <c r="G32" i="9"/>
  <c r="I32" i="9"/>
  <c r="E32" i="9"/>
  <c r="C32" i="9"/>
  <c r="B31" i="9"/>
  <c r="F31" i="9"/>
  <c r="D31" i="9"/>
  <c r="N31" i="9"/>
  <c r="M31" i="9"/>
  <c r="G31" i="9"/>
  <c r="I31" i="9"/>
  <c r="E31" i="9"/>
  <c r="C31" i="9"/>
  <c r="B30" i="9"/>
  <c r="F30" i="9"/>
  <c r="D30" i="9"/>
  <c r="N30" i="9"/>
  <c r="M30" i="9"/>
  <c r="G30" i="9"/>
  <c r="I30" i="9"/>
  <c r="E30" i="9"/>
  <c r="C30" i="9"/>
  <c r="B29" i="9"/>
  <c r="F29" i="9"/>
  <c r="D29" i="9"/>
  <c r="N29" i="9"/>
  <c r="M29" i="9"/>
  <c r="G29" i="9"/>
  <c r="I29" i="9"/>
  <c r="E29" i="9"/>
  <c r="C29" i="9"/>
  <c r="B28" i="9"/>
  <c r="F28" i="9"/>
  <c r="D28" i="9"/>
  <c r="N28" i="9"/>
  <c r="M28" i="9"/>
  <c r="G28" i="9"/>
  <c r="I28" i="9"/>
  <c r="E28" i="9"/>
  <c r="C28" i="9"/>
  <c r="B27" i="9"/>
  <c r="F27" i="9"/>
  <c r="D27" i="9"/>
  <c r="N27" i="9"/>
  <c r="M27" i="9"/>
  <c r="G27" i="9"/>
  <c r="I27" i="9"/>
  <c r="E27" i="9"/>
  <c r="C27" i="9"/>
  <c r="B26" i="9"/>
  <c r="F26" i="9"/>
  <c r="D26" i="9"/>
  <c r="N26" i="9"/>
  <c r="M26" i="9"/>
  <c r="G26" i="9"/>
  <c r="I26" i="9"/>
  <c r="E26" i="9"/>
  <c r="C26" i="9"/>
  <c r="B25" i="9"/>
  <c r="F25" i="9"/>
  <c r="D25" i="9"/>
  <c r="N25" i="9"/>
  <c r="M25" i="9"/>
  <c r="G25" i="9"/>
  <c r="I25" i="9"/>
  <c r="E25" i="9"/>
  <c r="C25" i="9"/>
  <c r="B24" i="9"/>
  <c r="F24" i="9"/>
  <c r="D24" i="9"/>
  <c r="N24" i="9"/>
  <c r="M24" i="9"/>
  <c r="G24" i="9"/>
  <c r="I24" i="9"/>
  <c r="E24" i="9"/>
  <c r="C24" i="9"/>
  <c r="B23" i="9"/>
  <c r="F23" i="9"/>
  <c r="D23" i="9"/>
  <c r="N23" i="9"/>
  <c r="M23" i="9"/>
  <c r="G23" i="9"/>
  <c r="I23" i="9"/>
  <c r="E23" i="9"/>
  <c r="C23" i="9"/>
  <c r="B22" i="9"/>
  <c r="F22" i="9"/>
  <c r="D22" i="9"/>
  <c r="N22" i="9"/>
  <c r="M22" i="9"/>
  <c r="G22" i="9"/>
  <c r="I22" i="9"/>
  <c r="E22" i="9"/>
  <c r="C22" i="9"/>
  <c r="B21" i="9"/>
  <c r="F21" i="9"/>
  <c r="D21" i="9"/>
  <c r="N21" i="9"/>
  <c r="M21" i="9"/>
  <c r="G21" i="9"/>
  <c r="I21" i="9"/>
  <c r="E21" i="9"/>
  <c r="C21" i="9"/>
  <c r="B20" i="9"/>
  <c r="F20" i="9"/>
  <c r="D20" i="9"/>
  <c r="N20" i="9"/>
  <c r="M20" i="9"/>
  <c r="G20" i="9"/>
  <c r="I20" i="9"/>
  <c r="E20" i="9"/>
  <c r="C20" i="9"/>
  <c r="B19" i="9"/>
  <c r="F19" i="9"/>
  <c r="D19" i="9"/>
  <c r="N19" i="9"/>
  <c r="M19" i="9"/>
  <c r="G19" i="9"/>
  <c r="I19" i="9"/>
  <c r="E19" i="9"/>
  <c r="C19" i="9"/>
  <c r="B18" i="9"/>
  <c r="F18" i="9"/>
  <c r="D18" i="9"/>
  <c r="N18" i="9"/>
  <c r="M18" i="9"/>
  <c r="G18" i="9"/>
  <c r="I18" i="9"/>
  <c r="E18" i="9"/>
  <c r="C18" i="9"/>
  <c r="B17" i="9"/>
  <c r="F17" i="9"/>
  <c r="D17" i="9"/>
  <c r="N17" i="9"/>
  <c r="M17" i="9"/>
  <c r="G17" i="9"/>
  <c r="I17" i="9"/>
  <c r="E17" i="9"/>
  <c r="C17" i="9"/>
  <c r="B16" i="9"/>
  <c r="F16" i="9"/>
  <c r="D16" i="9"/>
  <c r="N16" i="9"/>
  <c r="M16" i="9"/>
  <c r="G16" i="9"/>
  <c r="I16" i="9"/>
  <c r="E16" i="9"/>
  <c r="C16" i="9"/>
  <c r="B15" i="9"/>
  <c r="F15" i="9"/>
  <c r="D15" i="9"/>
  <c r="N15" i="9"/>
  <c r="M15" i="9"/>
  <c r="G15" i="9"/>
  <c r="I15" i="9"/>
  <c r="E15" i="9"/>
  <c r="C15" i="9"/>
  <c r="B14" i="9"/>
  <c r="F14" i="9"/>
  <c r="D14" i="9"/>
  <c r="N14" i="9"/>
  <c r="M14" i="9"/>
  <c r="G14" i="9"/>
  <c r="I14" i="9"/>
  <c r="E14" i="9"/>
  <c r="C14" i="9"/>
  <c r="B13" i="9"/>
  <c r="F13" i="9"/>
  <c r="D13" i="9"/>
  <c r="N13" i="9"/>
  <c r="M13" i="9"/>
  <c r="G13" i="9"/>
  <c r="I13" i="9"/>
  <c r="E13" i="9"/>
  <c r="C13" i="9"/>
  <c r="B12" i="9"/>
  <c r="F12" i="9"/>
  <c r="D12" i="9"/>
  <c r="N12" i="9"/>
  <c r="M12" i="9"/>
  <c r="G12" i="9"/>
  <c r="I12" i="9"/>
  <c r="E12" i="9"/>
  <c r="C12" i="9"/>
  <c r="B11" i="9"/>
  <c r="F11" i="9"/>
  <c r="D11" i="9"/>
  <c r="N11" i="9"/>
  <c r="M11" i="9"/>
  <c r="G11" i="9"/>
  <c r="I11" i="9"/>
  <c r="E11" i="9"/>
  <c r="C11" i="9"/>
  <c r="B10" i="9"/>
  <c r="F10" i="9"/>
  <c r="D10" i="9"/>
  <c r="N10" i="9"/>
  <c r="M10" i="9"/>
  <c r="G10" i="9"/>
  <c r="I10" i="9"/>
  <c r="E10" i="9"/>
  <c r="C10" i="9"/>
  <c r="B9" i="9"/>
  <c r="F9" i="9"/>
  <c r="D9" i="9"/>
  <c r="N9" i="9"/>
  <c r="M9" i="9"/>
  <c r="G9" i="9"/>
  <c r="I9" i="9"/>
  <c r="E9" i="9"/>
  <c r="C9" i="9"/>
  <c r="B8" i="9"/>
  <c r="F8" i="9"/>
  <c r="D8" i="9"/>
  <c r="N8" i="9"/>
  <c r="M8" i="9"/>
  <c r="G8" i="9"/>
  <c r="I8" i="9"/>
  <c r="E8" i="9"/>
  <c r="C8" i="9"/>
  <c r="B7" i="9"/>
  <c r="F7" i="9"/>
  <c r="D7" i="9"/>
  <c r="N7" i="9"/>
  <c r="M7" i="9"/>
  <c r="G7" i="9"/>
  <c r="I7" i="9"/>
  <c r="E7" i="9"/>
  <c r="C7" i="9"/>
  <c r="B6" i="9"/>
  <c r="F6" i="9"/>
  <c r="D6" i="9"/>
  <c r="N6" i="9"/>
  <c r="M6" i="9"/>
  <c r="G6" i="9"/>
  <c r="I6" i="9"/>
  <c r="E6" i="9"/>
  <c r="C6" i="9"/>
  <c r="B5" i="9"/>
  <c r="F5" i="9"/>
  <c r="D5" i="9"/>
  <c r="N5" i="9"/>
  <c r="M5" i="9"/>
  <c r="G5" i="9"/>
  <c r="I5" i="9"/>
  <c r="E5" i="9"/>
  <c r="C5" i="9"/>
  <c r="B4" i="9"/>
  <c r="F4" i="9"/>
  <c r="D4" i="9"/>
  <c r="N4" i="9"/>
  <c r="M4" i="9"/>
  <c r="G4" i="9"/>
  <c r="I4" i="9"/>
  <c r="E4" i="9"/>
  <c r="C4" i="9"/>
  <c r="B3" i="9"/>
  <c r="F3" i="9"/>
  <c r="D3" i="9"/>
  <c r="N3" i="9"/>
  <c r="M3" i="9"/>
  <c r="G3" i="9"/>
  <c r="I3" i="9"/>
  <c r="E3" i="9"/>
  <c r="C3" i="9"/>
  <c r="G2" i="9"/>
  <c r="I2" i="9"/>
  <c r="E2" i="9"/>
  <c r="F176" i="5"/>
  <c r="F175" i="5"/>
  <c r="F174" i="5"/>
  <c r="G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0" i="5"/>
  <c r="H40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G69" i="5"/>
  <c r="H69" i="5"/>
  <c r="G70" i="5"/>
  <c r="H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3" i="5"/>
  <c r="H113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G128" i="5"/>
  <c r="H128" i="5"/>
  <c r="G129" i="5"/>
  <c r="H129" i="5"/>
  <c r="G130" i="5"/>
  <c r="H130" i="5"/>
  <c r="G131" i="5"/>
  <c r="H131" i="5"/>
  <c r="G132" i="5"/>
  <c r="H132" i="5"/>
  <c r="G133" i="5"/>
  <c r="H133" i="5"/>
  <c r="G134" i="5"/>
  <c r="H134" i="5"/>
  <c r="G135" i="5"/>
  <c r="H135" i="5"/>
  <c r="G136" i="5"/>
  <c r="H136" i="5"/>
  <c r="G137" i="5"/>
  <c r="H137" i="5"/>
  <c r="G138" i="5"/>
  <c r="H138" i="5"/>
  <c r="G139" i="5"/>
  <c r="H139" i="5"/>
  <c r="G140" i="5"/>
  <c r="H140" i="5"/>
  <c r="G141" i="5"/>
  <c r="H141" i="5"/>
  <c r="G142" i="5"/>
  <c r="H142" i="5"/>
  <c r="G143" i="5"/>
  <c r="H143" i="5"/>
  <c r="G144" i="5"/>
  <c r="H144" i="5"/>
  <c r="G145" i="5"/>
  <c r="H145" i="5"/>
  <c r="G146" i="5"/>
  <c r="H146" i="5"/>
  <c r="G147" i="5"/>
  <c r="H147" i="5"/>
  <c r="G148" i="5"/>
  <c r="H148" i="5"/>
  <c r="G149" i="5"/>
  <c r="H149" i="5"/>
  <c r="G150" i="5"/>
  <c r="H150" i="5"/>
  <c r="G151" i="5"/>
  <c r="H151" i="5"/>
  <c r="G152" i="5"/>
  <c r="H152" i="5"/>
  <c r="G153" i="5"/>
  <c r="H153" i="5"/>
  <c r="G154" i="5"/>
  <c r="H154" i="5"/>
  <c r="G155" i="5"/>
  <c r="H155" i="5"/>
  <c r="G156" i="5"/>
  <c r="H156" i="5"/>
  <c r="G157" i="5"/>
  <c r="H157" i="5"/>
  <c r="G158" i="5"/>
  <c r="H158" i="5"/>
  <c r="G159" i="5"/>
  <c r="H159" i="5"/>
  <c r="G160" i="5"/>
  <c r="H160" i="5"/>
  <c r="G161" i="5"/>
  <c r="H161" i="5"/>
  <c r="G162" i="5"/>
  <c r="H162" i="5"/>
  <c r="G163" i="5"/>
  <c r="H163" i="5"/>
  <c r="G164" i="5"/>
  <c r="H164" i="5"/>
  <c r="G165" i="5"/>
  <c r="H165" i="5"/>
  <c r="G166" i="5"/>
  <c r="H166" i="5"/>
  <c r="G167" i="5"/>
  <c r="H167" i="5"/>
  <c r="G168" i="5"/>
  <c r="H168" i="5"/>
  <c r="G169" i="5"/>
  <c r="H169" i="5"/>
  <c r="G170" i="5"/>
  <c r="H170" i="5"/>
  <c r="G171" i="5"/>
  <c r="H171" i="5"/>
  <c r="G172" i="5"/>
  <c r="H172" i="5"/>
  <c r="G2" i="5"/>
  <c r="H2" i="5"/>
  <c r="E5" i="3"/>
  <c r="C4" i="3"/>
  <c r="E4" i="3"/>
  <c r="G4" i="3"/>
  <c r="I4" i="3"/>
  <c r="K4" i="3"/>
  <c r="L4" i="3"/>
  <c r="C5" i="3"/>
  <c r="G5" i="3"/>
  <c r="I5" i="3"/>
  <c r="K5" i="3"/>
  <c r="L5" i="3"/>
  <c r="C6" i="3"/>
  <c r="E6" i="3"/>
  <c r="G6" i="3"/>
  <c r="I6" i="3"/>
  <c r="K6" i="3"/>
  <c r="L6" i="3"/>
  <c r="C7" i="3"/>
  <c r="E7" i="3"/>
  <c r="G7" i="3"/>
  <c r="I7" i="3"/>
  <c r="K7" i="3"/>
  <c r="L7" i="3"/>
  <c r="C3" i="3"/>
  <c r="E3" i="3"/>
  <c r="G3" i="3"/>
  <c r="I3" i="3"/>
  <c r="K3" i="3"/>
  <c r="L3" i="3"/>
  <c r="K27" i="2"/>
  <c r="J27" i="2"/>
  <c r="I27" i="2"/>
  <c r="H27" i="2"/>
  <c r="K26" i="2"/>
  <c r="J26" i="2"/>
  <c r="I26" i="2"/>
  <c r="H26" i="2"/>
  <c r="K25" i="2"/>
  <c r="J25" i="2"/>
  <c r="I25" i="2"/>
  <c r="H25" i="2"/>
  <c r="C25" i="2"/>
  <c r="D25" i="2"/>
  <c r="E25" i="2"/>
  <c r="F25" i="2"/>
  <c r="D26" i="2"/>
  <c r="E26" i="2"/>
  <c r="F26" i="2"/>
  <c r="D27" i="2"/>
  <c r="E27" i="2"/>
  <c r="F27" i="2"/>
  <c r="C27" i="2"/>
  <c r="C26" i="2"/>
  <c r="N4" i="2"/>
  <c r="N23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I4" i="1"/>
  <c r="AA4" i="1"/>
  <c r="I4" i="2"/>
  <c r="J4" i="2"/>
  <c r="K4" i="2"/>
  <c r="I5" i="2"/>
  <c r="J5" i="2"/>
  <c r="K5" i="2"/>
  <c r="I6" i="2"/>
  <c r="J6" i="2"/>
  <c r="K6" i="2"/>
  <c r="I7" i="2"/>
  <c r="J7" i="2"/>
  <c r="K7" i="2"/>
  <c r="I8" i="2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4" i="2"/>
  <c r="AD5" i="1"/>
  <c r="AD6" i="1"/>
  <c r="AD7" i="1"/>
  <c r="AD8" i="1"/>
  <c r="AD9" i="1"/>
  <c r="AD10" i="1"/>
  <c r="AD11" i="1"/>
  <c r="AD12" i="1"/>
  <c r="AD13" i="1"/>
  <c r="AD14" i="1"/>
  <c r="AD15" i="1"/>
  <c r="AD16" i="1"/>
  <c r="Y19" i="1"/>
  <c r="Z19" i="1"/>
  <c r="AA19" i="1"/>
  <c r="AB19" i="1"/>
  <c r="Y20" i="1"/>
  <c r="Z20" i="1"/>
  <c r="AA20" i="1"/>
  <c r="AB20" i="1"/>
  <c r="Y21" i="1"/>
  <c r="Z21" i="1"/>
  <c r="AA21" i="1"/>
  <c r="AB21" i="1"/>
  <c r="Y22" i="1"/>
  <c r="Z22" i="1"/>
  <c r="AA22" i="1"/>
  <c r="AB22" i="1"/>
  <c r="T19" i="1"/>
  <c r="U19" i="1"/>
  <c r="V19" i="1"/>
  <c r="W19" i="1"/>
  <c r="T20" i="1"/>
  <c r="U20" i="1"/>
  <c r="V20" i="1"/>
  <c r="W20" i="1"/>
  <c r="T21" i="1"/>
  <c r="U21" i="1"/>
  <c r="V21" i="1"/>
  <c r="W21" i="1"/>
  <c r="T22" i="1"/>
  <c r="U22" i="1"/>
  <c r="V22" i="1"/>
  <c r="W22" i="1"/>
  <c r="AB16" i="1"/>
  <c r="AA16" i="1"/>
  <c r="Z16" i="1"/>
  <c r="Y16" i="1"/>
  <c r="AB15" i="1"/>
  <c r="AA15" i="1"/>
  <c r="Z15" i="1"/>
  <c r="Y15" i="1"/>
  <c r="AB14" i="1"/>
  <c r="AA14" i="1"/>
  <c r="Z14" i="1"/>
  <c r="Y14" i="1"/>
  <c r="AB13" i="1"/>
  <c r="AA13" i="1"/>
  <c r="Z13" i="1"/>
  <c r="Y13" i="1"/>
  <c r="AB12" i="1"/>
  <c r="AA12" i="1"/>
  <c r="Z12" i="1"/>
  <c r="Y12" i="1"/>
  <c r="AB11" i="1"/>
  <c r="AA11" i="1"/>
  <c r="Z11" i="1"/>
  <c r="Y11" i="1"/>
  <c r="AB10" i="1"/>
  <c r="AA10" i="1"/>
  <c r="Z10" i="1"/>
  <c r="Y10" i="1"/>
  <c r="AB9" i="1"/>
  <c r="AA9" i="1"/>
  <c r="Z9" i="1"/>
  <c r="Y9" i="1"/>
  <c r="AB8" i="1"/>
  <c r="AA8" i="1"/>
  <c r="Z8" i="1"/>
  <c r="Y8" i="1"/>
  <c r="AB7" i="1"/>
  <c r="AA7" i="1"/>
  <c r="Z7" i="1"/>
  <c r="Y7" i="1"/>
  <c r="AB6" i="1"/>
  <c r="AA6" i="1"/>
  <c r="Z6" i="1"/>
  <c r="Y6" i="1"/>
  <c r="AB5" i="1"/>
  <c r="AA5" i="1"/>
  <c r="Z5" i="1"/>
  <c r="Y5" i="1"/>
  <c r="AB4" i="1"/>
  <c r="Z4" i="1"/>
  <c r="Y4" i="1"/>
  <c r="Z3" i="1"/>
  <c r="AA3" i="1"/>
  <c r="AB3" i="1"/>
  <c r="Y3" i="1"/>
  <c r="O19" i="1"/>
  <c r="P19" i="1"/>
  <c r="Q19" i="1"/>
  <c r="R19" i="1"/>
  <c r="O20" i="1"/>
  <c r="P20" i="1"/>
  <c r="Q20" i="1"/>
  <c r="R20" i="1"/>
  <c r="O21" i="1"/>
  <c r="P21" i="1"/>
  <c r="Q21" i="1"/>
  <c r="R21" i="1"/>
  <c r="O22" i="1"/>
  <c r="P22" i="1"/>
  <c r="Q22" i="1"/>
  <c r="R22" i="1"/>
  <c r="W16" i="1"/>
  <c r="V16" i="1"/>
  <c r="U16" i="1"/>
  <c r="T16" i="1"/>
  <c r="W15" i="1"/>
  <c r="V15" i="1"/>
  <c r="U15" i="1"/>
  <c r="T15" i="1"/>
  <c r="W14" i="1"/>
  <c r="V14" i="1"/>
  <c r="U14" i="1"/>
  <c r="T14" i="1"/>
  <c r="W13" i="1"/>
  <c r="V13" i="1"/>
  <c r="U13" i="1"/>
  <c r="T13" i="1"/>
  <c r="W12" i="1"/>
  <c r="V12" i="1"/>
  <c r="U12" i="1"/>
  <c r="T12" i="1"/>
  <c r="W11" i="1"/>
  <c r="V11" i="1"/>
  <c r="U11" i="1"/>
  <c r="T11" i="1"/>
  <c r="W10" i="1"/>
  <c r="V10" i="1"/>
  <c r="U10" i="1"/>
  <c r="T10" i="1"/>
  <c r="W9" i="1"/>
  <c r="V9" i="1"/>
  <c r="U9" i="1"/>
  <c r="T9" i="1"/>
  <c r="W8" i="1"/>
  <c r="V8" i="1"/>
  <c r="U8" i="1"/>
  <c r="T8" i="1"/>
  <c r="W7" i="1"/>
  <c r="V7" i="1"/>
  <c r="U7" i="1"/>
  <c r="T7" i="1"/>
  <c r="W6" i="1"/>
  <c r="V6" i="1"/>
  <c r="U6" i="1"/>
  <c r="T6" i="1"/>
  <c r="W5" i="1"/>
  <c r="V5" i="1"/>
  <c r="U5" i="1"/>
  <c r="T5" i="1"/>
  <c r="W4" i="1"/>
  <c r="V4" i="1"/>
  <c r="U4" i="1"/>
  <c r="T4" i="1"/>
  <c r="S5" i="1"/>
  <c r="X5" i="1"/>
  <c r="S6" i="1"/>
  <c r="S7" i="1"/>
  <c r="S8" i="1"/>
  <c r="S9" i="1"/>
  <c r="S10" i="1"/>
  <c r="S11" i="1"/>
  <c r="S12" i="1"/>
  <c r="S13" i="1"/>
  <c r="S14" i="1"/>
  <c r="S15" i="1"/>
  <c r="S16" i="1"/>
  <c r="S4" i="1"/>
  <c r="X4" i="1"/>
  <c r="AD4" i="1"/>
  <c r="W3" i="1"/>
  <c r="U3" i="1"/>
  <c r="V3" i="1"/>
  <c r="T3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O3" i="1"/>
  <c r="P3" i="1"/>
  <c r="Q3" i="1"/>
  <c r="R3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K3" i="1"/>
  <c r="L3" i="1"/>
  <c r="M3" i="1"/>
  <c r="E3" i="1"/>
  <c r="F3" i="1"/>
  <c r="G3" i="1"/>
  <c r="H3" i="1"/>
  <c r="I9" i="1"/>
  <c r="I5" i="1"/>
  <c r="I6" i="1"/>
  <c r="I7" i="1"/>
  <c r="I8" i="1"/>
  <c r="I10" i="1"/>
  <c r="I11" i="1"/>
  <c r="I12" i="1"/>
  <c r="I13" i="1"/>
  <c r="I14" i="1"/>
  <c r="I15" i="1"/>
  <c r="I16" i="1"/>
  <c r="D22" i="1"/>
  <c r="C22" i="1"/>
  <c r="D21" i="1"/>
  <c r="D20" i="1"/>
  <c r="D19" i="1"/>
  <c r="C21" i="1"/>
  <c r="C20" i="1"/>
  <c r="C19" i="1"/>
  <c r="AD20" i="1"/>
  <c r="AD22" i="1"/>
  <c r="AD21" i="1"/>
  <c r="AD19" i="1"/>
  <c r="K19" i="1"/>
  <c r="L19" i="1"/>
  <c r="M19" i="1"/>
  <c r="K20" i="1"/>
  <c r="M20" i="1"/>
  <c r="J19" i="1"/>
  <c r="K22" i="1"/>
  <c r="J22" i="1"/>
  <c r="I22" i="1"/>
  <c r="J20" i="1"/>
  <c r="I20" i="1"/>
  <c r="M22" i="1"/>
  <c r="L22" i="1"/>
  <c r="M21" i="1"/>
  <c r="K21" i="1"/>
  <c r="L21" i="1"/>
  <c r="J21" i="1"/>
  <c r="I21" i="1"/>
  <c r="L20" i="1"/>
  <c r="I19" i="1"/>
  <c r="X11" i="1"/>
  <c r="X16" i="1"/>
  <c r="N22" i="1"/>
  <c r="X12" i="1"/>
  <c r="X9" i="1"/>
  <c r="X15" i="1"/>
  <c r="X6" i="1"/>
  <c r="X7" i="1"/>
  <c r="X8" i="1"/>
  <c r="X10" i="1"/>
  <c r="X13" i="1"/>
  <c r="X14" i="1"/>
  <c r="S22" i="1"/>
  <c r="S21" i="1"/>
  <c r="S20" i="1"/>
  <c r="S19" i="1"/>
  <c r="N21" i="1"/>
  <c r="N19" i="1"/>
  <c r="N20" i="1"/>
  <c r="X22" i="1"/>
  <c r="X21" i="1"/>
  <c r="X20" i="1"/>
  <c r="X19" i="1"/>
</calcChain>
</file>

<file path=xl/sharedStrings.xml><?xml version="1.0" encoding="utf-8"?>
<sst xmlns="http://schemas.openxmlformats.org/spreadsheetml/2006/main" count="1221" uniqueCount="283">
  <si>
    <t>EMPLOYEE PAYROLL</t>
  </si>
  <si>
    <t>Last Name</t>
  </si>
  <si>
    <t>First Name</t>
  </si>
  <si>
    <t xml:space="preserve">Hourly Wage </t>
  </si>
  <si>
    <t>House Worked Pay</t>
  </si>
  <si>
    <t>peter</t>
  </si>
  <si>
    <t>kamal</t>
  </si>
  <si>
    <t>nimal</t>
  </si>
  <si>
    <t>somapala</t>
  </si>
  <si>
    <t>mahinda</t>
  </si>
  <si>
    <t>punsiri</t>
  </si>
  <si>
    <t>soratha</t>
  </si>
  <si>
    <t>vipula</t>
  </si>
  <si>
    <t>soori</t>
  </si>
  <si>
    <t>kasun</t>
  </si>
  <si>
    <t>anjana</t>
  </si>
  <si>
    <t>alex</t>
  </si>
  <si>
    <t>piyal</t>
  </si>
  <si>
    <t>de silva</t>
  </si>
  <si>
    <t>perera</t>
  </si>
  <si>
    <t>fernando</t>
  </si>
  <si>
    <t>laksiri</t>
  </si>
  <si>
    <t>lakmal</t>
  </si>
  <si>
    <t>soyasa</t>
  </si>
  <si>
    <t>nihal</t>
  </si>
  <si>
    <t>peiris</t>
  </si>
  <si>
    <t>kumarasignha</t>
  </si>
  <si>
    <t>primal</t>
  </si>
  <si>
    <t>yasarath</t>
  </si>
  <si>
    <t>nishantha</t>
  </si>
  <si>
    <t>Max</t>
  </si>
  <si>
    <t>Min</t>
  </si>
  <si>
    <t>Avg</t>
  </si>
  <si>
    <t>Total</t>
  </si>
  <si>
    <t>Overtime Hours</t>
  </si>
  <si>
    <t>OT Bounes</t>
  </si>
  <si>
    <t>Total Pay</t>
  </si>
  <si>
    <t>January Pay</t>
  </si>
  <si>
    <t>Gradebook</t>
  </si>
  <si>
    <t xml:space="preserve">Last Name </t>
  </si>
  <si>
    <t>Kasun</t>
  </si>
  <si>
    <t>Silva</t>
  </si>
  <si>
    <t>Chamara</t>
  </si>
  <si>
    <t>Fernando</t>
  </si>
  <si>
    <t>Dilshan</t>
  </si>
  <si>
    <t>Jayasinghe</t>
  </si>
  <si>
    <t>Lahiru</t>
  </si>
  <si>
    <t>Wickramasinghe</t>
  </si>
  <si>
    <t>Tharindu</t>
  </si>
  <si>
    <t>Gunawardena</t>
  </si>
  <si>
    <t>Sandun</t>
  </si>
  <si>
    <t>Bandara</t>
  </si>
  <si>
    <t>Isuru</t>
  </si>
  <si>
    <t>Senanayake</t>
  </si>
  <si>
    <t>Sachintha</t>
  </si>
  <si>
    <t>Rajapaksha</t>
  </si>
  <si>
    <t>Madushan</t>
  </si>
  <si>
    <t>Ekanayake</t>
  </si>
  <si>
    <t>Dinuka</t>
  </si>
  <si>
    <t>Weerasinghe</t>
  </si>
  <si>
    <t>Gayan</t>
  </si>
  <si>
    <t>Karunaratne</t>
  </si>
  <si>
    <t>Shehan</t>
  </si>
  <si>
    <t>Abeysekara</t>
  </si>
  <si>
    <t>Kavindu</t>
  </si>
  <si>
    <t>Herath</t>
  </si>
  <si>
    <t>Ruwan</t>
  </si>
  <si>
    <t>Dissanayake</t>
  </si>
  <si>
    <t>Thilina</t>
  </si>
  <si>
    <t>Ranasinghe</t>
  </si>
  <si>
    <t>Pasindu</t>
  </si>
  <si>
    <t>Samarasinghe</t>
  </si>
  <si>
    <t>Harsha</t>
  </si>
  <si>
    <t>Alwis</t>
  </si>
  <si>
    <t>Asanka</t>
  </si>
  <si>
    <t>Peiris</t>
  </si>
  <si>
    <t>Janaka</t>
  </si>
  <si>
    <t>Wijesinghe</t>
  </si>
  <si>
    <t>Nimal</t>
  </si>
  <si>
    <t>Perer</t>
  </si>
  <si>
    <t>Safety Test</t>
  </si>
  <si>
    <t>Company Philosophy</t>
  </si>
  <si>
    <t>Financial Skills Test</t>
  </si>
  <si>
    <t>Drug Test</t>
  </si>
  <si>
    <t>Points Possible</t>
  </si>
  <si>
    <t>Fire Empoyee</t>
  </si>
  <si>
    <t>Average</t>
  </si>
  <si>
    <t>Career Decision Time</t>
  </si>
  <si>
    <t>Job</t>
  </si>
  <si>
    <t>Data Analyst</t>
  </si>
  <si>
    <t>Software Engineer</t>
  </si>
  <si>
    <t>Marketing Executive</t>
  </si>
  <si>
    <t>Human Resources Officer</t>
  </si>
  <si>
    <t>Sales Manager</t>
  </si>
  <si>
    <t>Pay</t>
  </si>
  <si>
    <t>Job Markert</t>
  </si>
  <si>
    <t>Enjoyment</t>
  </si>
  <si>
    <t>My Talent</t>
  </si>
  <si>
    <t>Schooling</t>
  </si>
  <si>
    <t xml:space="preserve"> </t>
  </si>
  <si>
    <t>NV</t>
  </si>
  <si>
    <t>Skimmer</t>
  </si>
  <si>
    <t>Dec</t>
  </si>
  <si>
    <t>CA</t>
  </si>
  <si>
    <t>UT</t>
  </si>
  <si>
    <t>Water Pump</t>
  </si>
  <si>
    <t>Pool Cover</t>
  </si>
  <si>
    <t>NM</t>
  </si>
  <si>
    <t>AutoVac</t>
  </si>
  <si>
    <t>Nov</t>
  </si>
  <si>
    <t>AZ</t>
  </si>
  <si>
    <t>1 Gal Muratic Acid</t>
  </si>
  <si>
    <t>5 Gal Chlorine</t>
  </si>
  <si>
    <t>Oct</t>
  </si>
  <si>
    <t>Sept</t>
  </si>
  <si>
    <t>Aug</t>
  </si>
  <si>
    <t>July</t>
  </si>
  <si>
    <t>Chlorine Test Kit</t>
  </si>
  <si>
    <t>8 ft Hose</t>
  </si>
  <si>
    <t>Net</t>
  </si>
  <si>
    <t>Algea Killer 8 oz</t>
  </si>
  <si>
    <t>June</t>
  </si>
  <si>
    <t>May</t>
  </si>
  <si>
    <t>April</t>
  </si>
  <si>
    <t>CO</t>
  </si>
  <si>
    <t>Mar</t>
  </si>
  <si>
    <t>Feb</t>
  </si>
  <si>
    <t>Jan</t>
  </si>
  <si>
    <t>Sale Location</t>
  </si>
  <si>
    <t>Commision 10%</t>
  </si>
  <si>
    <t>Profit</t>
  </si>
  <si>
    <t>Sale Price</t>
  </si>
  <si>
    <t>Store Cost</t>
  </si>
  <si>
    <t>Product Description</t>
  </si>
  <si>
    <t>Product Code</t>
  </si>
  <si>
    <t>Transaction Number</t>
  </si>
  <si>
    <t>Month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</si>
  <si>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</si>
  <si>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</si>
  <si>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</si>
  <si>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</si>
  <si>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</si>
  <si>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</si>
  <si>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</si>
  <si>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</si>
  <si>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Sum of all Items</t>
  </si>
  <si>
    <t xml:space="preserve">Sum of Items Valued at more than $50 </t>
  </si>
  <si>
    <t>Sum of items Valued at $50 or Less</t>
  </si>
  <si>
    <t>Row Labels</t>
  </si>
  <si>
    <t>Grand Total</t>
  </si>
  <si>
    <t>Sum of Sale Price</t>
  </si>
  <si>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</si>
  <si>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</si>
  <si>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</si>
  <si>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</si>
  <si>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</si>
  <si>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</si>
  <si>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</si>
  <si>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</si>
  <si>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</si>
  <si>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</si>
  <si>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</si>
  <si>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</si>
  <si>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</si>
  <si>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</si>
  <si>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TY96CAM020</t>
  </si>
  <si>
    <t>Green</t>
  </si>
  <si>
    <t>Chan</t>
  </si>
  <si>
    <t>TY98CAM021</t>
  </si>
  <si>
    <t>Black</t>
  </si>
  <si>
    <t>Swartz</t>
  </si>
  <si>
    <t>TY00CAM022</t>
  </si>
  <si>
    <t>Ewenty</t>
  </si>
  <si>
    <t>CR04CAR047</t>
  </si>
  <si>
    <t>White</t>
  </si>
  <si>
    <t>Bard</t>
  </si>
  <si>
    <t>TY03COR026</t>
  </si>
  <si>
    <t>Gaul</t>
  </si>
  <si>
    <t>GM00SLV019</t>
  </si>
  <si>
    <t>Blue</t>
  </si>
  <si>
    <t>Vizzini</t>
  </si>
  <si>
    <t>HO99CIV030</t>
  </si>
  <si>
    <t>Rodriguez</t>
  </si>
  <si>
    <t>GM98SLV018</t>
  </si>
  <si>
    <t>Santos</t>
  </si>
  <si>
    <t>CR00CAR046</t>
  </si>
  <si>
    <t>Jones</t>
  </si>
  <si>
    <t>CR99CAR045</t>
  </si>
  <si>
    <t>Hulinski</t>
  </si>
  <si>
    <t>CR04PTC042</t>
  </si>
  <si>
    <t>HO05ODY037</t>
  </si>
  <si>
    <t>Howard</t>
  </si>
  <si>
    <t>TY02CAM023</t>
  </si>
  <si>
    <t>TY09CAM024</t>
  </si>
  <si>
    <t>HO01CIV031</t>
  </si>
  <si>
    <t>HO01ODY040</t>
  </si>
  <si>
    <t>TY02COR025</t>
  </si>
  <si>
    <t>Red</t>
  </si>
  <si>
    <t>HO07ODY038</t>
  </si>
  <si>
    <t>FD06FCS007</t>
  </si>
  <si>
    <t>Lyon</t>
  </si>
  <si>
    <t>FD08MTG003</t>
  </si>
  <si>
    <t>CR04CAR048</t>
  </si>
  <si>
    <t>HO08ODY039</t>
  </si>
  <si>
    <t>FD06FCS006</t>
  </si>
  <si>
    <t>FD06MTG002</t>
  </si>
  <si>
    <t>McCall</t>
  </si>
  <si>
    <t>CR07PTC043</t>
  </si>
  <si>
    <t>FD13FCS009</t>
  </si>
  <si>
    <t>TY12COR028</t>
  </si>
  <si>
    <t>FD13FCS010</t>
  </si>
  <si>
    <t>Praulty</t>
  </si>
  <si>
    <t>FD08MTG004</t>
  </si>
  <si>
    <t>HO10CIV033</t>
  </si>
  <si>
    <t>FD09FCS008</t>
  </si>
  <si>
    <t>HO11CIV034</t>
  </si>
  <si>
    <t>FD08MTG005</t>
  </si>
  <si>
    <t>FD06MTG001</t>
  </si>
  <si>
    <t>GM10SLV017</t>
  </si>
  <si>
    <t>HY11ELA049</t>
  </si>
  <si>
    <t>Torrens</t>
  </si>
  <si>
    <t>CR11PTC044</t>
  </si>
  <si>
    <t>HO12CIV035</t>
  </si>
  <si>
    <t>FD13FCS012</t>
  </si>
  <si>
    <t>HY13ELA052</t>
  </si>
  <si>
    <t>GM09CMR014</t>
  </si>
  <si>
    <t>HY12ELA050</t>
  </si>
  <si>
    <t>TY12CAM029</t>
  </si>
  <si>
    <t>HY13ELA051</t>
  </si>
  <si>
    <t>TY14COR027</t>
  </si>
  <si>
    <t>HO10CIV032</t>
  </si>
  <si>
    <t>GM12CMR015</t>
  </si>
  <si>
    <t>FD12FCS011</t>
  </si>
  <si>
    <t>Yousef</t>
  </si>
  <si>
    <t>GM14CMR016</t>
  </si>
  <si>
    <t>HO13CIV036</t>
  </si>
  <si>
    <t>FD13FCS013</t>
  </si>
  <si>
    <t>HO14ODY041</t>
  </si>
  <si>
    <t>CR</t>
  </si>
  <si>
    <t>Chrysler</t>
  </si>
  <si>
    <t>CAM</t>
  </si>
  <si>
    <t>Camrey</t>
  </si>
  <si>
    <t>FD</t>
  </si>
  <si>
    <t>Ford</t>
  </si>
  <si>
    <t>CAR</t>
  </si>
  <si>
    <t>Caravan</t>
  </si>
  <si>
    <t>GM</t>
  </si>
  <si>
    <t>General Motors</t>
  </si>
  <si>
    <t>CIV</t>
  </si>
  <si>
    <t>Civic</t>
  </si>
  <si>
    <t>HO</t>
  </si>
  <si>
    <t>Honda</t>
  </si>
  <si>
    <t>CMR</t>
  </si>
  <si>
    <t>Camero</t>
  </si>
  <si>
    <t>HY</t>
  </si>
  <si>
    <t>Hundai</t>
  </si>
  <si>
    <t>COR</t>
  </si>
  <si>
    <t>Corola</t>
  </si>
  <si>
    <t>TY</t>
  </si>
  <si>
    <t>Toyota</t>
  </si>
  <si>
    <t>ELA</t>
  </si>
  <si>
    <t>Elantra</t>
  </si>
  <si>
    <t>FCS</t>
  </si>
  <si>
    <t>Focus</t>
  </si>
  <si>
    <t>MTG</t>
  </si>
  <si>
    <t>Mustang</t>
  </si>
  <si>
    <t>ODY</t>
  </si>
  <si>
    <t>Odyssey</t>
  </si>
  <si>
    <t>PTC</t>
  </si>
  <si>
    <t>PT Cruiser</t>
  </si>
  <si>
    <t>SLV</t>
  </si>
  <si>
    <t>Silverado</t>
  </si>
  <si>
    <t>Sum of Miles</t>
  </si>
  <si>
    <t>Principal</t>
  </si>
  <si>
    <t xml:space="preserve">interest Rate </t>
  </si>
  <si>
    <t>Months</t>
  </si>
  <si>
    <t>Interest Paid</t>
  </si>
  <si>
    <t xml:space="preserve">Total Loan </t>
  </si>
  <si>
    <t>Monthly Payments</t>
  </si>
  <si>
    <t>Loan A</t>
  </si>
  <si>
    <t>Loan B</t>
  </si>
  <si>
    <t>Loan C</t>
  </si>
  <si>
    <t>Loan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</si>
</sst>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&quot;£&quot;#,##0.00"/>
    <numFmt numFmtId="165" formatCode="_-[$$-409]* #,##0.00_ ;_-[$$-409]* \-#,##0.00\ ;_-[$$-409]* &quot;-&quot;??_ ;_-@_ "/>
    <numFmt numFmtId="166" formatCode="0.0"/>
    <numFmt numFmtId="167" formatCode="_(* #,##0.00_);_(* \(#,##0.00\);_(* &quot;-&quot;??_);_(@_)"/>
    <numFmt numFmtId="168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167" fontId="3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0" fillId="2" borderId="0" xfId="0" applyFill="1"/>
    <xf numFmtId="0" fontId="0" fillId="3" borderId="0" xfId="0" applyFill="1"/>
    <xf numFmtId="16" fontId="0" fillId="2" borderId="0" xfId="0" applyNumberFormat="1" applyFill="1" applyAlignment="1">
      <alignment horizontal="center" vertical="center"/>
    </xf>
    <xf numFmtId="16" fontId="0" fillId="3" borderId="0" xfId="0" applyNumberFormat="1" applyFill="1" applyAlignment="1">
      <alignment horizontal="center" vertical="center"/>
    </xf>
    <xf numFmtId="16" fontId="0" fillId="4" borderId="0" xfId="0" applyNumberFormat="1" applyFill="1" applyAlignment="1">
      <alignment horizontal="center" vertical="center"/>
    </xf>
    <xf numFmtId="165" fontId="0" fillId="4" borderId="0" xfId="0" applyNumberFormat="1" applyFill="1"/>
    <xf numFmtId="165" fontId="0" fillId="5" borderId="0" xfId="0" applyNumberFormat="1" applyFill="1"/>
    <xf numFmtId="16" fontId="0" fillId="5" borderId="0" xfId="0" applyNumberFormat="1" applyFill="1" applyAlignment="1">
      <alignment horizontal="center"/>
    </xf>
    <xf numFmtId="165" fontId="0" fillId="3" borderId="0" xfId="0" applyNumberFormat="1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textRotation="90"/>
    </xf>
    <xf numFmtId="9" fontId="0" fillId="0" borderId="0" xfId="1" applyFont="1"/>
    <xf numFmtId="0" fontId="0" fillId="0" borderId="0" xfId="0" applyAlignment="1">
      <alignment horizontal="center" vertical="center" textRotation="90"/>
    </xf>
    <xf numFmtId="0" fontId="2" fillId="0" borderId="0" xfId="3"/>
    <xf numFmtId="168" fontId="0" fillId="0" borderId="0" xfId="4" applyNumberFormat="1" applyFont="1"/>
    <xf numFmtId="14" fontId="0" fillId="0" borderId="0" xfId="4" applyNumberFormat="1" applyFont="1"/>
    <xf numFmtId="0" fontId="2" fillId="0" borderId="0" xfId="3" applyAlignment="1">
      <alignment wrapText="1"/>
    </xf>
    <xf numFmtId="165" fontId="2" fillId="0" borderId="0" xfId="3" applyNumberFormat="1" applyAlignment="1">
      <alignment wrapText="1"/>
    </xf>
    <xf numFmtId="165" fontId="2" fillId="0" borderId="0" xfId="3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43" fontId="0" fillId="0" borderId="0" xfId="2" applyFont="1" applyAlignment="1">
      <alignment wrapText="1"/>
    </xf>
    <xf numFmtId="43" fontId="0" fillId="0" borderId="0" xfId="2" applyFont="1"/>
    <xf numFmtId="43" fontId="0" fillId="0" borderId="0" xfId="0" applyNumberFormat="1"/>
    <xf numFmtId="165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</cellXfs>
  <cellStyles count="5">
    <cellStyle name="Comma" xfId="2" builtinId="3"/>
    <cellStyle name="Comma 2" xfId="4" xr:uid="{074690C9-AB60-4934-831F-E574BAF50723}"/>
    <cellStyle name="Normal" xfId="0" builtinId="0"/>
    <cellStyle name="Normal 2" xfId="3" xr:uid="{5ADDDE1C-4910-4B94-A7AD-06ED9977BE1E}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Safety</a:t>
            </a:r>
            <a:r>
              <a:rPr lang="en-GB" baseline="0"/>
              <a:t>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Marking Sheet'!$A$4:$A$23</c:f>
              <c:strCache>
                <c:ptCount val="20"/>
                <c:pt idx="0">
                  <c:v>Perer</c:v>
                </c:pt>
                <c:pt idx="1">
                  <c:v>Silva</c:v>
                </c:pt>
                <c:pt idx="2">
                  <c:v>Fernando</c:v>
                </c:pt>
                <c:pt idx="3">
                  <c:v>Jayasinghe</c:v>
                </c:pt>
                <c:pt idx="4">
                  <c:v>Wickramasinghe</c:v>
                </c:pt>
                <c:pt idx="5">
                  <c:v>Gunawardena</c:v>
                </c:pt>
                <c:pt idx="6">
                  <c:v>Bandara</c:v>
                </c:pt>
                <c:pt idx="7">
                  <c:v>Senanayake</c:v>
                </c:pt>
                <c:pt idx="8">
                  <c:v>Rajapaksha</c:v>
                </c:pt>
                <c:pt idx="9">
                  <c:v>Ekanayake</c:v>
                </c:pt>
                <c:pt idx="10">
                  <c:v>Weerasinghe</c:v>
                </c:pt>
                <c:pt idx="11">
                  <c:v>Karunaratne</c:v>
                </c:pt>
                <c:pt idx="12">
                  <c:v>Abeysekara</c:v>
                </c:pt>
                <c:pt idx="13">
                  <c:v>Herath</c:v>
                </c:pt>
                <c:pt idx="14">
                  <c:v>Dissanayake</c:v>
                </c:pt>
                <c:pt idx="15">
                  <c:v>Ranasinghe</c:v>
                </c:pt>
                <c:pt idx="16">
                  <c:v>Samarasinghe</c:v>
                </c:pt>
                <c:pt idx="17">
                  <c:v>Alwis</c:v>
                </c:pt>
                <c:pt idx="18">
                  <c:v>Peiris</c:v>
                </c:pt>
                <c:pt idx="19">
                  <c:v>Wijesinghe</c:v>
                </c:pt>
              </c:strCache>
            </c:strRef>
          </c:cat>
          <c:val>
            <c:numRef>
              <c:f>'School Marking Sheet'!$C$4:$C$23</c:f>
              <c:numCache>
                <c:formatCode>General</c:formatCode>
                <c:ptCount val="20"/>
                <c:pt idx="0">
                  <c:v>5</c:v>
                </c:pt>
                <c:pt idx="1">
                  <c:v>2</c:v>
                </c:pt>
                <c:pt idx="2">
                  <c:v>7</c:v>
                </c:pt>
                <c:pt idx="3">
                  <c:v>4</c:v>
                </c:pt>
                <c:pt idx="4">
                  <c:v>7</c:v>
                </c:pt>
                <c:pt idx="5">
                  <c:v>6</c:v>
                </c:pt>
                <c:pt idx="6">
                  <c:v>9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4</c:v>
                </c:pt>
                <c:pt idx="15">
                  <c:v>8</c:v>
                </c:pt>
                <c:pt idx="16">
                  <c:v>7</c:v>
                </c:pt>
                <c:pt idx="17">
                  <c:v>7</c:v>
                </c:pt>
                <c:pt idx="18">
                  <c:v>1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3-453D-8381-8D4E222E7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450447"/>
        <c:axId val="912458127"/>
      </c:barChart>
      <c:catAx>
        <c:axId val="91245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58127"/>
        <c:crosses val="autoZero"/>
        <c:auto val="1"/>
        <c:lblAlgn val="ctr"/>
        <c:lblOffset val="100"/>
        <c:noMultiLvlLbl val="0"/>
      </c:catAx>
      <c:valAx>
        <c:axId val="91245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5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Company</a:t>
            </a:r>
            <a:r>
              <a:rPr lang="en-GB" baseline="0"/>
              <a:t> Philosophy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Marking Sheet'!$A$4:$A$23</c:f>
              <c:strCache>
                <c:ptCount val="20"/>
                <c:pt idx="0">
                  <c:v>Perer</c:v>
                </c:pt>
                <c:pt idx="1">
                  <c:v>Silva</c:v>
                </c:pt>
                <c:pt idx="2">
                  <c:v>Fernando</c:v>
                </c:pt>
                <c:pt idx="3">
                  <c:v>Jayasinghe</c:v>
                </c:pt>
                <c:pt idx="4">
                  <c:v>Wickramasinghe</c:v>
                </c:pt>
                <c:pt idx="5">
                  <c:v>Gunawardena</c:v>
                </c:pt>
                <c:pt idx="6">
                  <c:v>Bandara</c:v>
                </c:pt>
                <c:pt idx="7">
                  <c:v>Senanayake</c:v>
                </c:pt>
                <c:pt idx="8">
                  <c:v>Rajapaksha</c:v>
                </c:pt>
                <c:pt idx="9">
                  <c:v>Ekanayake</c:v>
                </c:pt>
                <c:pt idx="10">
                  <c:v>Weerasinghe</c:v>
                </c:pt>
                <c:pt idx="11">
                  <c:v>Karunaratne</c:v>
                </c:pt>
                <c:pt idx="12">
                  <c:v>Abeysekara</c:v>
                </c:pt>
                <c:pt idx="13">
                  <c:v>Herath</c:v>
                </c:pt>
                <c:pt idx="14">
                  <c:v>Dissanayake</c:v>
                </c:pt>
                <c:pt idx="15">
                  <c:v>Ranasinghe</c:v>
                </c:pt>
                <c:pt idx="16">
                  <c:v>Samarasinghe</c:v>
                </c:pt>
                <c:pt idx="17">
                  <c:v>Alwis</c:v>
                </c:pt>
                <c:pt idx="18">
                  <c:v>Peiris</c:v>
                </c:pt>
                <c:pt idx="19">
                  <c:v>Wijesinghe</c:v>
                </c:pt>
              </c:strCache>
            </c:strRef>
          </c:cat>
          <c:val>
            <c:numRef>
              <c:f>'School Marking Sheet'!$D$4:$D$23</c:f>
              <c:numCache>
                <c:formatCode>General</c:formatCode>
                <c:ptCount val="20"/>
                <c:pt idx="0">
                  <c:v>19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16</c:v>
                </c:pt>
                <c:pt idx="5">
                  <c:v>15</c:v>
                </c:pt>
                <c:pt idx="6">
                  <c:v>15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9</c:v>
                </c:pt>
                <c:pt idx="11">
                  <c:v>8</c:v>
                </c:pt>
                <c:pt idx="12">
                  <c:v>17</c:v>
                </c:pt>
                <c:pt idx="13">
                  <c:v>11</c:v>
                </c:pt>
                <c:pt idx="14">
                  <c:v>19</c:v>
                </c:pt>
                <c:pt idx="15">
                  <c:v>13</c:v>
                </c:pt>
                <c:pt idx="16">
                  <c:v>12</c:v>
                </c:pt>
                <c:pt idx="17">
                  <c:v>14</c:v>
                </c:pt>
                <c:pt idx="18">
                  <c:v>11</c:v>
                </c:pt>
                <c:pt idx="1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E-47E4-A20D-DD5D3CA99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416847"/>
        <c:axId val="912422607"/>
      </c:barChart>
      <c:catAx>
        <c:axId val="91241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22607"/>
        <c:crosses val="autoZero"/>
        <c:auto val="1"/>
        <c:lblAlgn val="ctr"/>
        <c:lblOffset val="100"/>
        <c:noMultiLvlLbl val="0"/>
      </c:catAx>
      <c:valAx>
        <c:axId val="91242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1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Financial</a:t>
            </a:r>
            <a:r>
              <a:rPr lang="en-GB" baseline="0"/>
              <a:t> Skills Test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'School Marking Sheet'!$A$4:$A$23</c:f>
              <c:strCache>
                <c:ptCount val="20"/>
                <c:pt idx="0">
                  <c:v>Perer</c:v>
                </c:pt>
                <c:pt idx="1">
                  <c:v>Silva</c:v>
                </c:pt>
                <c:pt idx="2">
                  <c:v>Fernando</c:v>
                </c:pt>
                <c:pt idx="3">
                  <c:v>Jayasinghe</c:v>
                </c:pt>
                <c:pt idx="4">
                  <c:v>Wickramasinghe</c:v>
                </c:pt>
                <c:pt idx="5">
                  <c:v>Gunawardena</c:v>
                </c:pt>
                <c:pt idx="6">
                  <c:v>Bandara</c:v>
                </c:pt>
                <c:pt idx="7">
                  <c:v>Senanayake</c:v>
                </c:pt>
                <c:pt idx="8">
                  <c:v>Rajapaksha</c:v>
                </c:pt>
                <c:pt idx="9">
                  <c:v>Ekanayake</c:v>
                </c:pt>
                <c:pt idx="10">
                  <c:v>Weerasinghe</c:v>
                </c:pt>
                <c:pt idx="11">
                  <c:v>Karunaratne</c:v>
                </c:pt>
                <c:pt idx="12">
                  <c:v>Abeysekara</c:v>
                </c:pt>
                <c:pt idx="13">
                  <c:v>Herath</c:v>
                </c:pt>
                <c:pt idx="14">
                  <c:v>Dissanayake</c:v>
                </c:pt>
                <c:pt idx="15">
                  <c:v>Ranasinghe</c:v>
                </c:pt>
                <c:pt idx="16">
                  <c:v>Samarasinghe</c:v>
                </c:pt>
                <c:pt idx="17">
                  <c:v>Alwis</c:v>
                </c:pt>
                <c:pt idx="18">
                  <c:v>Peiris</c:v>
                </c:pt>
                <c:pt idx="19">
                  <c:v>Wijesinghe</c:v>
                </c:pt>
              </c:strCache>
            </c:strRef>
          </c:cat>
          <c:val>
            <c:numRef>
              <c:f>'School Marking Sheet'!$E$4:$E$23</c:f>
              <c:numCache>
                <c:formatCode>General</c:formatCode>
                <c:ptCount val="20"/>
                <c:pt idx="0">
                  <c:v>93</c:v>
                </c:pt>
                <c:pt idx="1">
                  <c:v>100</c:v>
                </c:pt>
                <c:pt idx="2">
                  <c:v>52</c:v>
                </c:pt>
                <c:pt idx="3">
                  <c:v>80</c:v>
                </c:pt>
                <c:pt idx="4">
                  <c:v>52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89</c:v>
                </c:pt>
                <c:pt idx="9">
                  <c:v>90</c:v>
                </c:pt>
                <c:pt idx="10">
                  <c:v>87</c:v>
                </c:pt>
                <c:pt idx="11">
                  <c:v>60</c:v>
                </c:pt>
                <c:pt idx="12">
                  <c:v>65</c:v>
                </c:pt>
                <c:pt idx="13">
                  <c:v>55</c:v>
                </c:pt>
                <c:pt idx="14">
                  <c:v>63</c:v>
                </c:pt>
                <c:pt idx="15">
                  <c:v>96</c:v>
                </c:pt>
                <c:pt idx="16">
                  <c:v>97</c:v>
                </c:pt>
                <c:pt idx="17">
                  <c:v>91</c:v>
                </c:pt>
                <c:pt idx="18">
                  <c:v>84</c:v>
                </c:pt>
                <c:pt idx="19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14-418A-91C1-C92DDD535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2423087"/>
        <c:axId val="912420207"/>
      </c:barChart>
      <c:catAx>
        <c:axId val="912423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20207"/>
        <c:crosses val="autoZero"/>
        <c:auto val="1"/>
        <c:lblAlgn val="ctr"/>
        <c:lblOffset val="100"/>
        <c:noMultiLvlLbl val="0"/>
      </c:catAx>
      <c:valAx>
        <c:axId val="91242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42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[Assignment.xlsx]Pivot table!PivotTable3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4F-4560-89F7-E80F72FF35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4F-4560-89F7-E80F72FF35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4F-4560-89F7-E80F72FF35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4F-4560-89F7-E80F72FF35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'Pivot table'!$B$4:$B$8</c:f>
              <c:numCache>
                <c:formatCode>_-[$$-409]* #,##0.00_ ;_-[$$-409]* \-#,##0.00\ ;_-[$$-409]* "-"??_ ;_-@_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F-4E4A-A234-103B25DDDF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 Miles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inventory'!$G$2:$G$68</c:f>
              <c:numCache>
                <c:formatCode>General</c:formatCode>
                <c:ptCount val="67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26</c:v>
                </c:pt>
                <c:pt idx="9">
                  <c:v>27</c:v>
                </c:pt>
                <c:pt idx="10">
                  <c:v>22</c:v>
                </c:pt>
                <c:pt idx="11">
                  <c:v>21</c:v>
                </c:pt>
                <c:pt idx="12">
                  <c:v>24</c:v>
                </c:pt>
                <c:pt idx="13">
                  <c:v>17</c:v>
                </c:pt>
                <c:pt idx="14">
                  <c:v>25</c:v>
                </c:pt>
                <c:pt idx="15">
                  <c:v>25</c:v>
                </c:pt>
                <c:pt idx="16">
                  <c:v>24</c:v>
                </c:pt>
                <c:pt idx="17">
                  <c:v>19</c:v>
                </c:pt>
                <c:pt idx="18">
                  <c:v>20</c:v>
                </c:pt>
                <c:pt idx="19">
                  <c:v>18</c:v>
                </c:pt>
                <c:pt idx="20">
                  <c:v>22</c:v>
                </c:pt>
                <c:pt idx="21">
                  <c:v>18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13</c:v>
                </c:pt>
                <c:pt idx="26">
                  <c:v>14</c:v>
                </c:pt>
                <c:pt idx="27">
                  <c:v>13</c:v>
                </c:pt>
                <c:pt idx="28">
                  <c:v>18</c:v>
                </c:pt>
                <c:pt idx="29">
                  <c:v>16</c:v>
                </c:pt>
                <c:pt idx="30">
                  <c:v>17</c:v>
                </c:pt>
                <c:pt idx="31">
                  <c:v>15</c:v>
                </c:pt>
                <c:pt idx="32">
                  <c:v>18</c:v>
                </c:pt>
                <c:pt idx="33">
                  <c:v>20</c:v>
                </c:pt>
                <c:pt idx="34">
                  <c:v>16</c:v>
                </c:pt>
                <c:pt idx="35">
                  <c:v>15</c:v>
                </c:pt>
                <c:pt idx="36">
                  <c:v>15</c:v>
                </c:pt>
                <c:pt idx="37">
                  <c:v>14</c:v>
                </c:pt>
                <c:pt idx="38">
                  <c:v>13</c:v>
                </c:pt>
                <c:pt idx="39">
                  <c:v>13</c:v>
                </c:pt>
                <c:pt idx="40">
                  <c:v>17</c:v>
                </c:pt>
                <c:pt idx="41">
                  <c:v>14</c:v>
                </c:pt>
                <c:pt idx="42">
                  <c:v>14</c:v>
                </c:pt>
                <c:pt idx="43">
                  <c:v>13</c:v>
                </c:pt>
                <c:pt idx="44">
                  <c:v>12</c:v>
                </c:pt>
                <c:pt idx="45">
                  <c:v>16</c:v>
                </c:pt>
                <c:pt idx="46">
                  <c:v>14</c:v>
                </c:pt>
                <c:pt idx="47">
                  <c:v>14</c:v>
                </c:pt>
                <c:pt idx="48">
                  <c:v>12</c:v>
                </c:pt>
                <c:pt idx="49">
                  <c:v>13</c:v>
                </c:pt>
                <c:pt idx="50">
                  <c:v>13</c:v>
                </c:pt>
                <c:pt idx="51">
                  <c:v>12</c:v>
                </c:pt>
              </c:numCache>
            </c:numRef>
          </c:xVal>
          <c:yVal>
            <c:numRef>
              <c:f>'car inventory'!$H$2:$H$68</c:f>
              <c:numCache>
                <c:formatCode>_(* #,##0.00_);_(* \(#,##0.00\);_(* "-"??_);_(@_)</c:formatCode>
                <c:ptCount val="67"/>
                <c:pt idx="0">
                  <c:v>114660.6</c:v>
                </c:pt>
                <c:pt idx="1">
                  <c:v>93382.6</c:v>
                </c:pt>
                <c:pt idx="2">
                  <c:v>85928</c:v>
                </c:pt>
                <c:pt idx="3">
                  <c:v>72527.199999999997</c:v>
                </c:pt>
                <c:pt idx="4">
                  <c:v>73444.399999999994</c:v>
                </c:pt>
                <c:pt idx="5">
                  <c:v>80685.8</c:v>
                </c:pt>
                <c:pt idx="6">
                  <c:v>82374</c:v>
                </c:pt>
                <c:pt idx="7">
                  <c:v>83162.7</c:v>
                </c:pt>
                <c:pt idx="8">
                  <c:v>77243.100000000006</c:v>
                </c:pt>
                <c:pt idx="9">
                  <c:v>79420.600000000006</c:v>
                </c:pt>
                <c:pt idx="10">
                  <c:v>64542</c:v>
                </c:pt>
                <c:pt idx="11">
                  <c:v>60389.5</c:v>
                </c:pt>
                <c:pt idx="12">
                  <c:v>67829.100000000006</c:v>
                </c:pt>
                <c:pt idx="13">
                  <c:v>48114.2</c:v>
                </c:pt>
                <c:pt idx="14">
                  <c:v>69891.899999999994</c:v>
                </c:pt>
                <c:pt idx="15">
                  <c:v>68658.899999999994</c:v>
                </c:pt>
                <c:pt idx="16">
                  <c:v>64467.4</c:v>
                </c:pt>
                <c:pt idx="17">
                  <c:v>50854.1</c:v>
                </c:pt>
                <c:pt idx="18">
                  <c:v>52229.5</c:v>
                </c:pt>
                <c:pt idx="19">
                  <c:v>44946.5</c:v>
                </c:pt>
                <c:pt idx="20">
                  <c:v>52699.4</c:v>
                </c:pt>
                <c:pt idx="21">
                  <c:v>42504.6</c:v>
                </c:pt>
                <c:pt idx="22">
                  <c:v>46311.4</c:v>
                </c:pt>
                <c:pt idx="23">
                  <c:v>44974.8</c:v>
                </c:pt>
                <c:pt idx="24">
                  <c:v>42074.2</c:v>
                </c:pt>
                <c:pt idx="25">
                  <c:v>27637.1</c:v>
                </c:pt>
                <c:pt idx="26">
                  <c:v>29601.9</c:v>
                </c:pt>
                <c:pt idx="27">
                  <c:v>27534.799999999999</c:v>
                </c:pt>
                <c:pt idx="28">
                  <c:v>37558.800000000003</c:v>
                </c:pt>
                <c:pt idx="29">
                  <c:v>33477.199999999997</c:v>
                </c:pt>
                <c:pt idx="30">
                  <c:v>35137</c:v>
                </c:pt>
                <c:pt idx="31">
                  <c:v>30555.3</c:v>
                </c:pt>
                <c:pt idx="32">
                  <c:v>36438.5</c:v>
                </c:pt>
                <c:pt idx="33">
                  <c:v>40326.800000000003</c:v>
                </c:pt>
                <c:pt idx="34">
                  <c:v>31144.400000000001</c:v>
                </c:pt>
                <c:pt idx="35">
                  <c:v>29102.3</c:v>
                </c:pt>
                <c:pt idx="36">
                  <c:v>27394.2</c:v>
                </c:pt>
                <c:pt idx="37">
                  <c:v>24513.200000000001</c:v>
                </c:pt>
                <c:pt idx="38">
                  <c:v>22521.599999999999</c:v>
                </c:pt>
                <c:pt idx="39">
                  <c:v>22188.5</c:v>
                </c:pt>
                <c:pt idx="40">
                  <c:v>28464.799999999999</c:v>
                </c:pt>
                <c:pt idx="41">
                  <c:v>22282</c:v>
                </c:pt>
                <c:pt idx="42">
                  <c:v>22128.2</c:v>
                </c:pt>
                <c:pt idx="43">
                  <c:v>20223.900000000001</c:v>
                </c:pt>
                <c:pt idx="44">
                  <c:v>17556.3</c:v>
                </c:pt>
                <c:pt idx="45">
                  <c:v>22573</c:v>
                </c:pt>
                <c:pt idx="46">
                  <c:v>19421.099999999999</c:v>
                </c:pt>
                <c:pt idx="47">
                  <c:v>19341.7</c:v>
                </c:pt>
                <c:pt idx="48">
                  <c:v>14289.6</c:v>
                </c:pt>
                <c:pt idx="49">
                  <c:v>13867.6</c:v>
                </c:pt>
                <c:pt idx="50">
                  <c:v>13682.9</c:v>
                </c:pt>
                <c:pt idx="51">
                  <c:v>3708.1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47-4FF8-AEF6-F63CECD25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567215"/>
        <c:axId val="1165546095"/>
      </c:scatterChart>
      <c:valAx>
        <c:axId val="116556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 of the car(Years)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46095"/>
        <c:crosses val="autoZero"/>
        <c:crossBetween val="midCat"/>
      </c:valAx>
      <c:valAx>
        <c:axId val="116554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Miles</a:t>
                </a:r>
                <a:r>
                  <a:rPr lang="en-GB" baseline="0"/>
                  <a:t> Driven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67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[Assignment.xlsx]P2!PivotTable1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'P2'!$A$4:$A$21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'P2'!$B$4:$B$21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4-481B-8688-FAB15E76A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519695"/>
        <c:axId val="1165536495"/>
      </c:barChart>
      <c:catAx>
        <c:axId val="116551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36495"/>
        <c:crosses val="autoZero"/>
        <c:auto val="1"/>
        <c:lblAlgn val="ctr"/>
        <c:lblOffset val="100"/>
        <c:noMultiLvlLbl val="0"/>
      </c:catAx>
      <c:valAx>
        <c:axId val="11655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1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 Payments for $20K</a:t>
            </a:r>
            <a:r>
              <a:rPr lang="en-GB" baseline="0"/>
              <a:t> Loan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SI!$C$2:$C$5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SI!$G$2:$G$5</c:f>
              <c:numCache>
                <c:formatCode>_-[$$-409]* #,##0.00_ ;_-[$$-409]* \-#,##0.00\ ;_-[$$-409]* "-"??_ ;_-@_ 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8E-4C67-A8AF-CDAC1F300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5544175"/>
        <c:axId val="1165558095"/>
      </c:barChart>
      <c:catAx>
        <c:axId val="1165544175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58095"/>
        <c:crosses val="autoZero"/>
        <c:auto val="1"/>
        <c:lblAlgn val="ctr"/>
        <c:lblOffset val="100"/>
        <c:noMultiLvlLbl val="0"/>
      </c:catAx>
      <c:valAx>
        <c:axId val="116555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54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601980</xdr:colOff>
      <xdr:row>3</xdr:row>
      <xdr:rowOff>163830</xdr:rowOff>
    </xdr:from>
    <xdr:to>
      <xdr:col>22</xdr:col>
      <xdr:colOff>297180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F687E-950B-FE99-5938-34E4E99F5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19</xdr:row>
      <xdr:rowOff>3810</xdr:rowOff>
    </xdr:from>
    <xdr:to>
      <xdr:col>22</xdr:col>
      <xdr:colOff>304800</xdr:colOff>
      <xdr:row>34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0F6397-31F7-7B06-A96D-DA9A9FAD3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601980</xdr:colOff>
      <xdr:row>34</xdr:row>
      <xdr:rowOff>163830</xdr:rowOff>
    </xdr:from>
    <xdr:to>
      <xdr:col>22</xdr:col>
      <xdr:colOff>297180</xdr:colOff>
      <xdr:row>49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AFAAE3B-5E51-84ED-114D-3AB34E0EF3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845820</xdr:colOff>
      <xdr:row>8</xdr:row>
      <xdr:rowOff>171450</xdr:rowOff>
    </xdr:from>
    <xdr:to>
      <xdr:col>7</xdr:col>
      <xdr:colOff>441960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6C568F-AED8-16F4-AF96-DE1568C85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1234440</xdr:colOff>
      <xdr:row>0</xdr:row>
      <xdr:rowOff>704850</xdr:rowOff>
    </xdr:from>
    <xdr:to>
      <xdr:col>21</xdr:col>
      <xdr:colOff>297180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B8041-F4B9-4743-AB3E-5F8E3B887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49530</xdr:rowOff>
    </xdr:from>
    <xdr:to>
      <xdr:col>11</xdr:col>
      <xdr:colOff>457200</xdr:colOff>
      <xdr:row>21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C790F0-96C2-45E1-926B-438813C11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6</xdr:row>
      <xdr:rowOff>171450</xdr:rowOff>
    </xdr:from>
    <xdr:to>
      <xdr:col>6</xdr:col>
      <xdr:colOff>7620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801A3C-DBD4-456D-ACB0-B067010F4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car%20inventor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RA" refreshedDate="46196.593553356484" createdVersion="8" refreshedVersion="8" minRefreshableVersion="3" recordCount="171" xr:uid="{E8B83BD9-4795-419C-A877-0EDC9C09D59E}">
  <cacheSource type="worksheet">
    <worksheetSource ref="A1:K172" sheet="Sales Report"/>
  </cacheSource>
  <cacheFields count="11">
    <cacheField name="Month" numFmtId="14">
      <sharedItems/>
    </cacheField>
    <cacheField name="Transaction Number" numFmtId="168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5">
      <sharedItems containsSemiMixedTypes="0" containsString="0" containsNumber="1" minValue="3" maxValue="344"/>
    </cacheField>
    <cacheField name="Sale Price" numFmtId="165">
      <sharedItems containsSemiMixedTypes="0" containsString="0" containsNumber="1" minValue="7" maxValue="502"/>
    </cacheField>
    <cacheField name="Profit" numFmtId="165">
      <sharedItems containsSemiMixedTypes="0" containsString="0" containsNumber="1" minValue="2.9999999999999991" maxValue="158"/>
    </cacheField>
    <cacheField name="Commision 10%" numFmtId="0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SARA" refreshedDate="46196.557040856482" createdVersion="8" refreshedVersion="8" minRefreshableVersion="3" recordCount="52" xr:uid="{0AB70A78-35B7-4964-AF6D-226B060AD642}">
  <cacheSource type="worksheet">
    <worksheetSource ref="A1:N53" sheet="car inventory" r:id="rId2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12" maxValue="30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296.64799999999997" maxValue="3759.3639344262297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 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Elantra"/>
    <s v="06"/>
    <n v="20"/>
    <n v="40326.800000000003"/>
    <n v="1967.1609756097562"/>
    <s v="Black"/>
    <x v="0"/>
    <n v="50000"/>
    <s v="Y"/>
    <s v="FD06MTGBLA001"/>
  </r>
  <r>
    <s v="FD06MTG002"/>
    <s v="FD"/>
    <s v="Ford"/>
    <s v="MTG"/>
    <s v="Focus"/>
    <s v="06"/>
    <n v="20"/>
    <n v="44974.8"/>
    <n v="2193.8926829268294"/>
    <s v="White"/>
    <x v="1"/>
    <n v="50000"/>
    <s v="Y"/>
    <s v="FD06MTGWHI002"/>
  </r>
  <r>
    <s v="FD08MTG003"/>
    <s v="FD"/>
    <s v="Ford"/>
    <s v="MTG"/>
    <s v="Mustang"/>
    <s v="08"/>
    <n v="18"/>
    <n v="44946.5"/>
    <n v="2429.5405405405404"/>
    <s v="Green"/>
    <x v="2"/>
    <n v="50000"/>
    <s v="Y"/>
    <s v="FD08MTGGRE003"/>
  </r>
  <r>
    <s v="FD08MTG004"/>
    <s v="FD"/>
    <s v="Ford"/>
    <s v="MTG"/>
    <s v="Mustang"/>
    <s v="08"/>
    <n v="18"/>
    <n v="37558.800000000003"/>
    <n v="2030.2054054054056"/>
    <s v="Black"/>
    <x v="3"/>
    <n v="50000"/>
    <s v="Y"/>
    <s v="FD08MTGBLA004"/>
  </r>
  <r>
    <s v="FD08MTG005"/>
    <s v="FD"/>
    <s v="Ford"/>
    <s v="MTG"/>
    <s v="Mustang"/>
    <s v="08"/>
    <n v="18"/>
    <n v="36438.5"/>
    <n v="1969.6486486486488"/>
    <s v="White"/>
    <x v="0"/>
    <n v="50000"/>
    <s v="Y"/>
    <s v="FD08MTGWHI005"/>
  </r>
  <r>
    <s v="FD06FCS006"/>
    <s v="FD"/>
    <s v="Ford"/>
    <s v="FCS"/>
    <s v="Focus"/>
    <s v="06"/>
    <n v="20"/>
    <n v="46311.4"/>
    <n v="2259.0926829268292"/>
    <s v="Green"/>
    <x v="4"/>
    <n v="75000"/>
    <s v="Y"/>
    <s v="FD06FCSGRE006"/>
  </r>
  <r>
    <s v="FD06FCS007"/>
    <s v="FD"/>
    <s v="Ford"/>
    <s v="FCS"/>
    <s v="Focus"/>
    <s v="06"/>
    <n v="20"/>
    <n v="52229.5"/>
    <n v="2547.7804878048782"/>
    <s v="Green"/>
    <x v="2"/>
    <n v="75000"/>
    <s v="Y"/>
    <s v="FD06FCSGRE007"/>
  </r>
  <r>
    <s v="FD09FCS008"/>
    <s v="FD"/>
    <s v="Ford"/>
    <s v="FCS"/>
    <s v="Focus"/>
    <s v="09"/>
    <n v="17"/>
    <n v="35137"/>
    <n v="2007.8285714285714"/>
    <s v="Black"/>
    <x v="5"/>
    <n v="75000"/>
    <s v="Y"/>
    <s v="FD09FCSBLA008"/>
  </r>
  <r>
    <s v="FD13FCS009"/>
    <s v="FD"/>
    <s v="Ford"/>
    <s v="FCS"/>
    <s v="Focus"/>
    <s v="13"/>
    <n v="13"/>
    <n v="27637.1"/>
    <n v="2047.1925925925925"/>
    <s v="Black"/>
    <x v="0"/>
    <n v="75000"/>
    <s v="Y"/>
    <s v="FD13FCSBLA009"/>
  </r>
  <r>
    <s v="FD13FCS010"/>
    <s v="FD"/>
    <s v="Ford"/>
    <s v="FCS"/>
    <s v="Focus"/>
    <s v="13"/>
    <n v="13"/>
    <n v="27534.799999999999"/>
    <n v="2039.6148148148147"/>
    <s v="White"/>
    <x v="6"/>
    <n v="75000"/>
    <s v="Y"/>
    <s v="FD13FCSWHI010"/>
  </r>
  <r>
    <s v="FD12FCS011"/>
    <s v="FD"/>
    <s v="Ford"/>
    <s v="FCS"/>
    <s v="Focus"/>
    <s v="12"/>
    <n v="14"/>
    <n v="19341.7"/>
    <n v="1333.9103448275862"/>
    <s v="White"/>
    <x v="7"/>
    <n v="75000"/>
    <s v="Y"/>
    <s v="FD12FCSWHI011"/>
  </r>
  <r>
    <s v="FD13FCS012"/>
    <s v="FD"/>
    <s v="Ford"/>
    <s v="FCS"/>
    <s v="Focus"/>
    <s v="13"/>
    <n v="13"/>
    <n v="22521.599999999999"/>
    <n v="1668.2666666666667"/>
    <s v="Black"/>
    <x v="8"/>
    <n v="75000"/>
    <s v="Y"/>
    <s v="FD13FCSBLA012"/>
  </r>
  <r>
    <s v="FD13FCS013"/>
    <s v="FD"/>
    <s v="Ford"/>
    <s v="FCS"/>
    <s v="Focus"/>
    <s v="13"/>
    <n v="13"/>
    <n v="13682.9"/>
    <n v="1013.5481481481481"/>
    <s v="Black"/>
    <x v="9"/>
    <n v="75000"/>
    <s v="Y"/>
    <s v="FD13FCSBLA013"/>
  </r>
  <r>
    <s v="GM09CMR014"/>
    <s v="GM"/>
    <s v="General Motors"/>
    <s v="CMR"/>
    <s v="Camero"/>
    <s v="09"/>
    <n v="17"/>
    <n v="28464.799999999999"/>
    <n v="1626.56"/>
    <s v="White"/>
    <x v="10"/>
    <n v="100000"/>
    <s v="Y"/>
    <s v="GM09CMRWHI014"/>
  </r>
  <r>
    <s v="GM12CMR015"/>
    <s v="GM"/>
    <s v="General Motors"/>
    <s v="CMR"/>
    <s v="Camero"/>
    <s v="12"/>
    <n v="14"/>
    <n v="19421.099999999999"/>
    <n v="1339.3862068965516"/>
    <s v="Black"/>
    <x v="11"/>
    <n v="100000"/>
    <s v="Y"/>
    <s v="GM12CMRBLA015"/>
  </r>
  <r>
    <s v="GM14CMR016"/>
    <s v="GM"/>
    <s v="General Motors"/>
    <s v="CMR"/>
    <s v="Camero"/>
    <s v="14"/>
    <n v="12"/>
    <n v="14289.6"/>
    <n v="1143.1680000000001"/>
    <s v="White"/>
    <x v="12"/>
    <n v="100000"/>
    <s v="Y"/>
    <s v="GM14CMRWHI016"/>
  </r>
  <r>
    <s v="GM10SLV017"/>
    <s v="GM"/>
    <s v="General Motors"/>
    <s v="SLV"/>
    <s v="Silverado"/>
    <s v="10"/>
    <n v="16"/>
    <n v="31144.400000000001"/>
    <n v="1887.5393939393941"/>
    <s v="Black"/>
    <x v="13"/>
    <n v="100000"/>
    <s v="Y"/>
    <s v="GM10SLVBLA017"/>
  </r>
  <r>
    <s v="GM98SLV018"/>
    <s v="GM"/>
    <s v="General Motors"/>
    <s v="SLV"/>
    <s v="Silverado"/>
    <s v="98"/>
    <n v="28"/>
    <n v="83162.7"/>
    <n v="2917.9894736842102"/>
    <s v="Black"/>
    <x v="10"/>
    <n v="100000"/>
    <s v="Y"/>
    <s v="GM98SLVBLA018"/>
  </r>
  <r>
    <s v="GM00SLV019"/>
    <s v="GM"/>
    <s v="General Motors"/>
    <s v="SLV"/>
    <s v="Silverado"/>
    <s v="00"/>
    <n v="26"/>
    <n v="80685.8"/>
    <n v="3044.7471698113209"/>
    <s v="Blue"/>
    <x v="8"/>
    <n v="100000"/>
    <s v="Y"/>
    <s v="GM00SLVBLU019"/>
  </r>
  <r>
    <s v="TY96CAM020"/>
    <s v="TY"/>
    <s v="Toyota"/>
    <s v="CAM"/>
    <s v="Camrey"/>
    <s v="96"/>
    <n v="30"/>
    <n v="114660.6"/>
    <n v="3759.3639344262297"/>
    <s v="Green"/>
    <x v="14"/>
    <n v="100000"/>
    <s v="Not Covered"/>
    <s v="TY96CAMGRE020"/>
  </r>
  <r>
    <s v="TY98CAM021"/>
    <s v="TY"/>
    <s v="Toyota"/>
    <s v="CAM"/>
    <s v="Camrey"/>
    <s v="98"/>
    <n v="28"/>
    <n v="93382.6"/>
    <n v="3276.582456140351"/>
    <s v="Black"/>
    <x v="15"/>
    <n v="100000"/>
    <s v="Y"/>
    <s v="TY98CAMBLA021"/>
  </r>
  <r>
    <s v="TY00CAM022"/>
    <s v="TY"/>
    <s v="Toyota"/>
    <s v="CAM"/>
    <s v="Camrey"/>
    <s v="00"/>
    <n v="26"/>
    <n v="85928"/>
    <n v="3242.566037735849"/>
    <s v="Green"/>
    <x v="4"/>
    <n v="100000"/>
    <s v="Y"/>
    <s v="TY00CAMGRE022"/>
  </r>
  <r>
    <s v="TY02CAM023"/>
    <s v="TY"/>
    <s v="Toyota"/>
    <s v="CAM"/>
    <s v="Camrey"/>
    <s v="02"/>
    <n v="24"/>
    <n v="67829.100000000006"/>
    <n v="2768.534693877551"/>
    <s v="Black"/>
    <x v="0"/>
    <n v="100000"/>
    <s v="Y"/>
    <s v="TY02CAMBLA023"/>
  </r>
  <r>
    <s v="TY09CAM024"/>
    <s v="TY"/>
    <s v="Toyota"/>
    <s v="CAM"/>
    <s v="Camrey"/>
    <s v="09"/>
    <n v="17"/>
    <n v="48114.2"/>
    <n v="2749.3828571428571"/>
    <s v="White"/>
    <x v="5"/>
    <n v="100000"/>
    <s v="Y"/>
    <s v="TY09CAMWHI024"/>
  </r>
  <r>
    <s v="TY02COR025"/>
    <s v="TY"/>
    <s v="Toyota"/>
    <s v="COR"/>
    <s v="Corola"/>
    <s v="02"/>
    <n v="24"/>
    <n v="64467.4"/>
    <n v="2631.3224489795921"/>
    <s v="Red"/>
    <x v="16"/>
    <n v="100000"/>
    <s v="Y"/>
    <s v="TY02CORRED025"/>
  </r>
  <r>
    <s v="TY03COR026"/>
    <s v="TY"/>
    <s v="Toyota"/>
    <s v="COR"/>
    <s v="Corola"/>
    <s v="03"/>
    <n v="23"/>
    <n v="73444.399999999994"/>
    <n v="3125.2936170212765"/>
    <s v="Black"/>
    <x v="16"/>
    <n v="100000"/>
    <s v="Y"/>
    <s v="TY03CORBLA026"/>
  </r>
  <r>
    <s v="TY14COR027"/>
    <s v="TY"/>
    <s v="Toyota"/>
    <s v="COR"/>
    <s v="Corola"/>
    <s v="14"/>
    <n v="12"/>
    <n v="17556.3"/>
    <n v="1404.5039999999999"/>
    <s v="Blue"/>
    <x v="6"/>
    <n v="100000"/>
    <s v="Y"/>
    <s v="TY14CORBLU027"/>
  </r>
  <r>
    <s v="TY12COR028"/>
    <s v="TY"/>
    <s v="Toyota"/>
    <s v="COR"/>
    <s v="Corola"/>
    <s v="12"/>
    <n v="14"/>
    <n v="29601.9"/>
    <n v="2041.5103448275863"/>
    <s v="Black"/>
    <x v="10"/>
    <n v="100000"/>
    <s v="Y"/>
    <s v="TY12CORBLA028"/>
  </r>
  <r>
    <s v="TY12CAM029"/>
    <s v="TY"/>
    <s v="Toyota"/>
    <s v="CAM"/>
    <s v="Camrey"/>
    <s v="12"/>
    <n v="14"/>
    <n v="22128.2"/>
    <n v="1526.0827586206897"/>
    <s v="Blue"/>
    <x v="14"/>
    <n v="100000"/>
    <s v="Y"/>
    <s v="TY12CAMBLU029"/>
  </r>
  <r>
    <s v="HO99CIV030"/>
    <s v="HO"/>
    <s v="Honda"/>
    <s v="CIV"/>
    <s v="Civic"/>
    <s v="99"/>
    <n v="27"/>
    <n v="82374"/>
    <n v="2995.4181818181819"/>
    <s v="White"/>
    <x v="9"/>
    <n v="75000"/>
    <s v="Not Covered"/>
    <s v="HO99CIVWHI030"/>
  </r>
  <r>
    <s v="HO01CIV031"/>
    <s v="HO"/>
    <s v="Honda"/>
    <s v="CIV"/>
    <s v="Civic"/>
    <s v="01"/>
    <n v="25"/>
    <n v="69891.899999999994"/>
    <n v="2740.8588235294114"/>
    <s v="Blue"/>
    <x v="3"/>
    <n v="75000"/>
    <s v="Y"/>
    <s v="HO01CIVBLU031"/>
  </r>
  <r>
    <s v="HO10CIV032"/>
    <s v="HO"/>
    <s v="Honda"/>
    <s v="CIV"/>
    <s v="Civic"/>
    <s v="10"/>
    <n v="16"/>
    <n v="22573"/>
    <n v="1368.060606060606"/>
    <s v="Blue"/>
    <x v="12"/>
    <n v="75000"/>
    <s v="Y"/>
    <s v="HO10CIVBLU032"/>
  </r>
  <r>
    <s v="HO10CIV033"/>
    <s v="HO"/>
    <s v="Honda"/>
    <s v="CIV"/>
    <s v="Civic"/>
    <s v="10"/>
    <n v="16"/>
    <n v="33477.199999999997"/>
    <n v="2028.921212121212"/>
    <s v="Black"/>
    <x v="15"/>
    <n v="75000"/>
    <s v="Y"/>
    <s v="HO10CIVBLA033"/>
  </r>
  <r>
    <s v="HO11CIV034"/>
    <s v="HO"/>
    <s v="Honda"/>
    <s v="CIV"/>
    <s v="Civic"/>
    <s v="11"/>
    <n v="15"/>
    <n v="30555.3"/>
    <n v="1971.3096774193548"/>
    <s v="Black"/>
    <x v="2"/>
    <n v="75000"/>
    <s v="Y"/>
    <s v="HO11CIVBLA034"/>
  </r>
  <r>
    <s v="HO12CIV035"/>
    <s v="HO"/>
    <s v="Honda"/>
    <s v="CIV"/>
    <s v="Civic"/>
    <s v="12"/>
    <n v="14"/>
    <n v="24513.200000000001"/>
    <n v="1690.5655172413794"/>
    <s v="Black"/>
    <x v="13"/>
    <n v="75000"/>
    <s v="Y"/>
    <s v="HO12CIVBLA035"/>
  </r>
  <r>
    <s v="HO13CIV036"/>
    <s v="HO"/>
    <s v="Honda"/>
    <s v="CIV"/>
    <s v="Civic"/>
    <s v="13"/>
    <n v="13"/>
    <n v="13867.6"/>
    <n v="1027.2296296296297"/>
    <s v="Black"/>
    <x v="14"/>
    <n v="75000"/>
    <s v="Y"/>
    <s v="HO13CIVBLA036"/>
  </r>
  <r>
    <s v="HO05ODY037"/>
    <s v="HO"/>
    <s v="Honda"/>
    <s v="ODY"/>
    <s v="Odyssey"/>
    <s v="05"/>
    <n v="21"/>
    <n v="60389.5"/>
    <n v="2808.8139534883721"/>
    <s v="White"/>
    <x v="5"/>
    <n v="100000"/>
    <s v="Y"/>
    <s v="HO05ODYWHI037"/>
  </r>
  <r>
    <s v="HO07ODY038"/>
    <s v="HO"/>
    <s v="Honda"/>
    <s v="ODY"/>
    <s v="Odyssey"/>
    <s v="07"/>
    <n v="19"/>
    <n v="50854.1"/>
    <n v="2607.9025641025642"/>
    <s v="Black"/>
    <x v="15"/>
    <n v="100000"/>
    <s v="Y"/>
    <s v="HO07ODYBLA038"/>
  </r>
  <r>
    <s v="HO08ODY039"/>
    <s v="HO"/>
    <s v="Honda"/>
    <s v="ODY"/>
    <s v="Odyssey"/>
    <s v="08"/>
    <n v="18"/>
    <n v="42504.6"/>
    <n v="2297.5459459459457"/>
    <s v="White"/>
    <x v="9"/>
    <n v="100000"/>
    <s v="Y"/>
    <s v="HO08ODYWHI039"/>
  </r>
  <r>
    <s v="HO01ODY040"/>
    <s v="HO"/>
    <s v="Honda"/>
    <s v="ODY"/>
    <s v="Odyssey"/>
    <s v="01"/>
    <n v="25"/>
    <n v="68658.899999999994"/>
    <n v="2692.5058823529412"/>
    <s v="Black"/>
    <x v="0"/>
    <n v="100000"/>
    <s v="Y"/>
    <s v="HO01ODYBLA040"/>
  </r>
  <r>
    <s v="HO14ODY041"/>
    <s v="HO"/>
    <s v="Honda"/>
    <s v="ODY"/>
    <s v="Odyssey"/>
    <s v="14"/>
    <n v="12"/>
    <n v="3708.1"/>
    <n v="296.64799999999997"/>
    <s v="Black"/>
    <x v="1"/>
    <n v="100000"/>
    <s v="Y"/>
    <s v="HO14ODYBLA041"/>
  </r>
  <r>
    <s v="CR04PTC042"/>
    <s v="CR"/>
    <s v="Chrysler"/>
    <s v="PTC"/>
    <s v="PT Cruiser"/>
    <s v="04"/>
    <n v="22"/>
    <n v="64542"/>
    <n v="2868.5333333333333"/>
    <s v="Blue"/>
    <x v="0"/>
    <n v="75000"/>
    <s v="Y"/>
    <s v="CR04PTCBLU042"/>
  </r>
  <r>
    <s v="CR07PTC043"/>
    <s v="CR"/>
    <s v="Chrysler"/>
    <s v="PTC"/>
    <s v="PT Cruiser"/>
    <s v="07"/>
    <n v="19"/>
    <n v="42074.2"/>
    <n v="2157.6512820512821"/>
    <s v="Green"/>
    <x v="16"/>
    <n v="75000"/>
    <s v="Y"/>
    <s v="CR07PTCGRE043"/>
  </r>
  <r>
    <s v="CR11PTC044"/>
    <s v="CR"/>
    <s v="Chrysler"/>
    <s v="PTC"/>
    <s v="PT Cruiser"/>
    <s v="11"/>
    <n v="15"/>
    <n v="27394.2"/>
    <n v="1767.367741935484"/>
    <s v="Black"/>
    <x v="8"/>
    <n v="75000"/>
    <s v="Y"/>
    <s v="CR11PTCBLA044"/>
  </r>
  <r>
    <s v="CR99CAR045"/>
    <s v="CR"/>
    <s v="Chrysler"/>
    <s v="CAR"/>
    <s v="Caravan"/>
    <s v="99"/>
    <n v="27"/>
    <n v="79420.600000000006"/>
    <n v="2888.0218181818186"/>
    <s v="Green"/>
    <x v="13"/>
    <n v="75000"/>
    <s v="Not Covered"/>
    <s v="CR99CARGRE045"/>
  </r>
  <r>
    <s v="CR00CAR046"/>
    <s v="CR"/>
    <s v="Chrysler"/>
    <s v="CAR"/>
    <s v="Caravan"/>
    <s v="00"/>
    <n v="26"/>
    <n v="77243.100000000006"/>
    <n v="2914.8339622641511"/>
    <s v="Black"/>
    <x v="3"/>
    <n v="75000"/>
    <s v="Not Covered"/>
    <s v="CR00CARBLA046"/>
  </r>
  <r>
    <s v="CR04CAR047"/>
    <s v="CR"/>
    <s v="Chrysler"/>
    <s v="CAR"/>
    <s v="Caravan"/>
    <s v="04"/>
    <n v="22"/>
    <n v="72527.199999999997"/>
    <n v="3223.431111111111"/>
    <s v="White"/>
    <x v="11"/>
    <n v="75000"/>
    <s v="Y"/>
    <s v="CR04CARWHI047"/>
  </r>
  <r>
    <s v="CR04CAR048"/>
    <s v="CR"/>
    <s v="Chrysler"/>
    <s v="CAR"/>
    <s v="Caravan"/>
    <s v="04"/>
    <n v="22"/>
    <n v="52699.4"/>
    <n v="2342.1955555555555"/>
    <s v="Red"/>
    <x v="11"/>
    <n v="75000"/>
    <s v="Y"/>
    <s v="CR04CARRED048"/>
  </r>
  <r>
    <s v="HY11ELA049"/>
    <s v="HY"/>
    <s v="Hundai"/>
    <s v="ELA"/>
    <s v="Elantra"/>
    <s v="11"/>
    <n v="15"/>
    <n v="29102.3"/>
    <n v="1877.5677419354838"/>
    <s v="Black"/>
    <x v="12"/>
    <n v="100000"/>
    <s v="Y"/>
    <s v="HY11ELABLA049"/>
  </r>
  <r>
    <s v="HY12ELA050"/>
    <s v="HY"/>
    <s v="Hundai"/>
    <s v="ELA"/>
    <s v="Elantra"/>
    <s v="12"/>
    <n v="14"/>
    <n v="22282"/>
    <n v="1536.6896551724137"/>
    <s v="Blue"/>
    <x v="1"/>
    <n v="100000"/>
    <s v="Y"/>
    <s v="HY12ELABLU050"/>
  </r>
  <r>
    <s v="HY13ELA051"/>
    <s v="HY"/>
    <s v="Hundai"/>
    <s v="ELA"/>
    <s v="Elantra"/>
    <s v="13"/>
    <n v="13"/>
    <n v="20223.900000000001"/>
    <n v="1498.0666666666668"/>
    <s v="Black"/>
    <x v="6"/>
    <n v="100000"/>
    <s v="Y"/>
    <s v="HY13ELABLA051"/>
  </r>
  <r>
    <s v="HY13ELA052"/>
    <s v="HY"/>
    <s v="Hundai"/>
    <s v="ELA"/>
    <s v="Elantra"/>
    <s v="13"/>
    <n v="13"/>
    <n v="22188.5"/>
    <n v="1643.5925925925926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B89E7-86B0-4E03-A137-F112C339C7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8" showAll="0"/>
    <pivotField showAll="0"/>
    <pivotField showAll="0"/>
    <pivotField numFmtId="165" showAll="0"/>
    <pivotField dataField="1" numFmtId="165" showAll="0"/>
    <pivotField numFmtId="165"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5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13AD3A-2263-48FD-AA35-5B6DBA374F1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ESARA/Downloads/ExcelExamples-master/ExcelExamples-master/CrystalPools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750E-39D2-4F36-A317-1DA56648E089}">
  <sheetPr>
    <pageSetUpPr fitToPage="1"/>
  </sheetPr>
  <dimension ref="A1:AD23"/>
  <sheetViews>
    <sheetView zoomScale="40" zoomScaleNormal="40" workbookViewId="0">
      <selection activeCell="H38" sqref="H38"/>
    </sheetView>
  </sheetViews>
  <sheetFormatPr defaultRowHeight="14.4"/>
  <cols>
    <col min="1" max="1" width="17.21875" customWidth="1"/>
    <col min="2" max="2" width="13.88671875" customWidth="1"/>
    <col min="3" max="3" width="24.44140625" style="2" customWidth="1"/>
    <col min="4" max="13" width="18.109375" customWidth="1"/>
    <col min="14" max="14" width="15.77734375" style="2" customWidth="1"/>
    <col min="15" max="15" width="12.5546875" customWidth="1"/>
    <col min="16" max="16" width="14.44140625" customWidth="1"/>
    <col min="17" max="17" width="12.77734375" customWidth="1"/>
    <col min="18" max="18" width="17.21875" customWidth="1"/>
    <col min="19" max="19" width="12" customWidth="1"/>
    <col min="20" max="20" width="11.77734375" customWidth="1"/>
    <col min="21" max="21" width="13.44140625" customWidth="1"/>
    <col min="22" max="22" width="12.88671875" customWidth="1"/>
    <col min="23" max="23" width="11.88671875" customWidth="1"/>
    <col min="24" max="24" width="16.77734375" customWidth="1"/>
    <col min="25" max="25" width="11.33203125" customWidth="1"/>
    <col min="26" max="26" width="12" customWidth="1"/>
    <col min="27" max="27" width="14.109375" customWidth="1"/>
    <col min="28" max="28" width="11.21875" customWidth="1"/>
    <col min="30" max="30" width="13.44140625" customWidth="1"/>
  </cols>
  <sheetData>
    <row r="1" spans="1:30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30">
      <c r="A2" s="1"/>
      <c r="B2" s="1"/>
      <c r="C2" s="3"/>
      <c r="D2" s="34" t="s">
        <v>4</v>
      </c>
      <c r="E2" s="34"/>
      <c r="F2" s="34"/>
      <c r="G2" s="34"/>
      <c r="H2" s="34"/>
      <c r="I2" s="34" t="s">
        <v>34</v>
      </c>
      <c r="J2" s="34"/>
      <c r="K2" s="34"/>
      <c r="L2" s="34"/>
      <c r="M2" s="34"/>
      <c r="N2" s="3"/>
      <c r="O2" s="3"/>
      <c r="P2" s="3"/>
      <c r="Q2" s="3"/>
      <c r="R2" s="3"/>
      <c r="S2" s="34" t="s">
        <v>35</v>
      </c>
      <c r="T2" s="34"/>
      <c r="U2" s="34"/>
      <c r="V2" s="34"/>
      <c r="W2" s="34"/>
      <c r="X2" s="35" t="s">
        <v>36</v>
      </c>
      <c r="Y2" s="35"/>
      <c r="Z2" s="35"/>
      <c r="AA2" s="35"/>
      <c r="AB2" s="35"/>
      <c r="AD2" s="1" t="s">
        <v>37</v>
      </c>
    </row>
    <row r="3" spans="1:30">
      <c r="A3" s="1" t="s">
        <v>1</v>
      </c>
      <c r="B3" s="1" t="s">
        <v>2</v>
      </c>
      <c r="C3" s="3" t="s">
        <v>3</v>
      </c>
      <c r="D3" s="8">
        <v>46023</v>
      </c>
      <c r="E3" s="8">
        <f>D3+7</f>
        <v>46030</v>
      </c>
      <c r="F3" s="8">
        <f t="shared" ref="F3:H3" si="0">E3+7</f>
        <v>46037</v>
      </c>
      <c r="G3" s="8">
        <f t="shared" si="0"/>
        <v>46044</v>
      </c>
      <c r="H3" s="8">
        <f t="shared" si="0"/>
        <v>46051</v>
      </c>
      <c r="I3" s="9">
        <v>46023</v>
      </c>
      <c r="J3" s="9">
        <f>I3+7</f>
        <v>46030</v>
      </c>
      <c r="K3" s="9">
        <f t="shared" ref="K3:M3" si="1">J3+7</f>
        <v>46037</v>
      </c>
      <c r="L3" s="9">
        <f t="shared" si="1"/>
        <v>46044</v>
      </c>
      <c r="M3" s="9">
        <f t="shared" si="1"/>
        <v>46051</v>
      </c>
      <c r="N3" s="10">
        <v>46023</v>
      </c>
      <c r="O3" s="10">
        <f>N3+7</f>
        <v>46030</v>
      </c>
      <c r="P3" s="10">
        <f t="shared" ref="P3:R3" si="2">O3+7</f>
        <v>46037</v>
      </c>
      <c r="Q3" s="10">
        <f t="shared" si="2"/>
        <v>46044</v>
      </c>
      <c r="R3" s="10">
        <f t="shared" si="2"/>
        <v>46051</v>
      </c>
      <c r="S3" s="13">
        <v>46023</v>
      </c>
      <c r="T3" s="13">
        <f>S3+7</f>
        <v>46030</v>
      </c>
      <c r="U3" s="13">
        <f t="shared" ref="U3:W3" si="3">T3+7</f>
        <v>46037</v>
      </c>
      <c r="V3" s="13">
        <f t="shared" si="3"/>
        <v>46044</v>
      </c>
      <c r="W3" s="13">
        <f t="shared" si="3"/>
        <v>46051</v>
      </c>
      <c r="X3" s="9">
        <v>46023</v>
      </c>
      <c r="Y3" s="9">
        <f>X3+7</f>
        <v>46030</v>
      </c>
      <c r="Z3" s="9">
        <f t="shared" ref="Z3:AB3" si="4">Y3+7</f>
        <v>46037</v>
      </c>
      <c r="AA3" s="9">
        <f t="shared" si="4"/>
        <v>46044</v>
      </c>
      <c r="AB3" s="9">
        <f t="shared" si="4"/>
        <v>46051</v>
      </c>
    </row>
    <row r="4" spans="1:30">
      <c r="A4" t="s">
        <v>16</v>
      </c>
      <c r="B4" t="s">
        <v>5</v>
      </c>
      <c r="C4" s="4">
        <v>15.9</v>
      </c>
      <c r="D4" s="6">
        <v>41</v>
      </c>
      <c r="E4" s="6">
        <v>40</v>
      </c>
      <c r="F4" s="6">
        <v>38</v>
      </c>
      <c r="G4" s="6">
        <v>45</v>
      </c>
      <c r="H4" s="6">
        <v>50</v>
      </c>
      <c r="I4" s="7">
        <f t="shared" ref="I4:I16" si="5">IF(D4&gt;40,D4-40,0)</f>
        <v>1</v>
      </c>
      <c r="J4" s="7">
        <f t="shared" ref="J4:J16" si="6">IF(E4&gt;40,E4-40,0)</f>
        <v>0</v>
      </c>
      <c r="K4" s="7">
        <f t="shared" ref="K4:K16" si="7">IF(F4&gt;40,F4-40,0)</f>
        <v>0</v>
      </c>
      <c r="L4" s="7">
        <f t="shared" ref="L4:L16" si="8">IF(G4&gt;40,G4-40,0)</f>
        <v>5</v>
      </c>
      <c r="M4" s="7">
        <f t="shared" ref="M4:M16" si="9">IF(H4&gt;40,H4-40,0)</f>
        <v>10</v>
      </c>
      <c r="N4" s="11">
        <f>$C4*D4</f>
        <v>651.9</v>
      </c>
      <c r="O4" s="11">
        <f>$C4*E4</f>
        <v>636</v>
      </c>
      <c r="P4" s="11">
        <f>$C4*F4</f>
        <v>604.20000000000005</v>
      </c>
      <c r="Q4" s="11">
        <f>$C4*G4</f>
        <v>715.5</v>
      </c>
      <c r="R4" s="11">
        <f>$C4*H4</f>
        <v>795</v>
      </c>
      <c r="S4" s="12">
        <f>0.5*$C4*I4</f>
        <v>7.95</v>
      </c>
      <c r="T4" s="12">
        <f t="shared" ref="T4:W16" si="10">0.5*$C4*J4</f>
        <v>0</v>
      </c>
      <c r="U4" s="12">
        <f t="shared" si="10"/>
        <v>0</v>
      </c>
      <c r="V4" s="12">
        <f t="shared" si="10"/>
        <v>39.75</v>
      </c>
      <c r="W4" s="12">
        <f t="shared" si="10"/>
        <v>79.5</v>
      </c>
      <c r="X4" s="14">
        <f t="shared" ref="X4:X16" si="11">N4+S4</f>
        <v>659.85</v>
      </c>
      <c r="Y4" s="14">
        <f t="shared" ref="Y4:AB16" si="12">O4+T4</f>
        <v>636</v>
      </c>
      <c r="Z4" s="14">
        <f t="shared" si="12"/>
        <v>604.20000000000005</v>
      </c>
      <c r="AA4" s="14">
        <f>Q4+V4</f>
        <v>755.25</v>
      </c>
      <c r="AB4" s="14">
        <f t="shared" si="12"/>
        <v>874.5</v>
      </c>
      <c r="AD4" s="4">
        <f>SUM(X4:AB4)</f>
        <v>3529.8</v>
      </c>
    </row>
    <row r="5" spans="1:30">
      <c r="A5" t="s">
        <v>5</v>
      </c>
      <c r="B5" t="s">
        <v>18</v>
      </c>
      <c r="C5" s="4">
        <v>10</v>
      </c>
      <c r="D5" s="6">
        <v>40</v>
      </c>
      <c r="E5" s="6">
        <v>52</v>
      </c>
      <c r="F5" s="6">
        <v>39</v>
      </c>
      <c r="G5" s="6">
        <v>28</v>
      </c>
      <c r="H5" s="6">
        <v>60</v>
      </c>
      <c r="I5" s="7">
        <f t="shared" si="5"/>
        <v>0</v>
      </c>
      <c r="J5" s="7">
        <f t="shared" si="6"/>
        <v>12</v>
      </c>
      <c r="K5" s="7">
        <f t="shared" si="7"/>
        <v>0</v>
      </c>
      <c r="L5" s="7">
        <f t="shared" si="8"/>
        <v>0</v>
      </c>
      <c r="M5" s="7">
        <f t="shared" si="9"/>
        <v>20</v>
      </c>
      <c r="N5" s="11">
        <f t="shared" ref="N5:R16" si="13">$C5*D5</f>
        <v>400</v>
      </c>
      <c r="O5" s="11">
        <f t="shared" si="13"/>
        <v>520</v>
      </c>
      <c r="P5" s="11">
        <f t="shared" si="13"/>
        <v>390</v>
      </c>
      <c r="Q5" s="11">
        <f t="shared" si="13"/>
        <v>280</v>
      </c>
      <c r="R5" s="11">
        <f t="shared" si="13"/>
        <v>600</v>
      </c>
      <c r="S5" s="12">
        <f t="shared" ref="S5:S16" si="14">0.5*$C5*I5</f>
        <v>0</v>
      </c>
      <c r="T5" s="12">
        <f t="shared" si="10"/>
        <v>60</v>
      </c>
      <c r="U5" s="12">
        <f t="shared" si="10"/>
        <v>0</v>
      </c>
      <c r="V5" s="12">
        <f t="shared" si="10"/>
        <v>0</v>
      </c>
      <c r="W5" s="12">
        <f t="shared" si="10"/>
        <v>100</v>
      </c>
      <c r="X5" s="14">
        <f t="shared" si="11"/>
        <v>400</v>
      </c>
      <c r="Y5" s="14">
        <f t="shared" si="12"/>
        <v>580</v>
      </c>
      <c r="Z5" s="14">
        <f t="shared" si="12"/>
        <v>390</v>
      </c>
      <c r="AA5" s="14">
        <f t="shared" si="12"/>
        <v>280</v>
      </c>
      <c r="AB5" s="14">
        <f t="shared" si="12"/>
        <v>700</v>
      </c>
      <c r="AD5" s="4">
        <f t="shared" ref="AD5:AD16" si="15">SUM(X5:AB5)</f>
        <v>2350</v>
      </c>
    </row>
    <row r="6" spans="1:30">
      <c r="A6" t="s">
        <v>6</v>
      </c>
      <c r="B6" t="s">
        <v>19</v>
      </c>
      <c r="C6" s="4">
        <v>3</v>
      </c>
      <c r="D6" s="6">
        <v>49</v>
      </c>
      <c r="E6" s="6">
        <v>41</v>
      </c>
      <c r="F6" s="6">
        <v>40</v>
      </c>
      <c r="G6" s="6">
        <v>39</v>
      </c>
      <c r="H6" s="6">
        <v>58</v>
      </c>
      <c r="I6" s="7">
        <f t="shared" si="5"/>
        <v>9</v>
      </c>
      <c r="J6" s="7">
        <f t="shared" si="6"/>
        <v>1</v>
      </c>
      <c r="K6" s="7">
        <f t="shared" si="7"/>
        <v>0</v>
      </c>
      <c r="L6" s="7">
        <f t="shared" si="8"/>
        <v>0</v>
      </c>
      <c r="M6" s="7">
        <f t="shared" si="9"/>
        <v>18</v>
      </c>
      <c r="N6" s="11">
        <f t="shared" si="13"/>
        <v>147</v>
      </c>
      <c r="O6" s="11">
        <f t="shared" si="13"/>
        <v>123</v>
      </c>
      <c r="P6" s="11">
        <f t="shared" si="13"/>
        <v>120</v>
      </c>
      <c r="Q6" s="11">
        <f t="shared" si="13"/>
        <v>117</v>
      </c>
      <c r="R6" s="11">
        <f t="shared" si="13"/>
        <v>174</v>
      </c>
      <c r="S6" s="12">
        <f t="shared" si="14"/>
        <v>13.5</v>
      </c>
      <c r="T6" s="12">
        <f t="shared" si="10"/>
        <v>1.5</v>
      </c>
      <c r="U6" s="12">
        <f t="shared" si="10"/>
        <v>0</v>
      </c>
      <c r="V6" s="12">
        <f t="shared" si="10"/>
        <v>0</v>
      </c>
      <c r="W6" s="12">
        <f t="shared" si="10"/>
        <v>27</v>
      </c>
      <c r="X6" s="14">
        <f t="shared" si="11"/>
        <v>160.5</v>
      </c>
      <c r="Y6" s="14">
        <f t="shared" si="12"/>
        <v>124.5</v>
      </c>
      <c r="Z6" s="14">
        <f t="shared" si="12"/>
        <v>120</v>
      </c>
      <c r="AA6" s="14">
        <f t="shared" si="12"/>
        <v>117</v>
      </c>
      <c r="AB6" s="14">
        <f t="shared" si="12"/>
        <v>201</v>
      </c>
      <c r="AD6" s="4">
        <f t="shared" si="15"/>
        <v>723</v>
      </c>
    </row>
    <row r="7" spans="1:30">
      <c r="A7" t="s">
        <v>7</v>
      </c>
      <c r="B7" t="s">
        <v>20</v>
      </c>
      <c r="C7" s="4">
        <v>8.5</v>
      </c>
      <c r="D7" s="6">
        <v>20</v>
      </c>
      <c r="E7" s="6">
        <v>50</v>
      </c>
      <c r="F7" s="6">
        <v>42</v>
      </c>
      <c r="G7" s="6">
        <v>45</v>
      </c>
      <c r="H7" s="6">
        <v>57</v>
      </c>
      <c r="I7" s="7">
        <f t="shared" si="5"/>
        <v>0</v>
      </c>
      <c r="J7" s="7">
        <f t="shared" si="6"/>
        <v>10</v>
      </c>
      <c r="K7" s="7">
        <f t="shared" si="7"/>
        <v>2</v>
      </c>
      <c r="L7" s="7">
        <f t="shared" si="8"/>
        <v>5</v>
      </c>
      <c r="M7" s="7">
        <f t="shared" si="9"/>
        <v>17</v>
      </c>
      <c r="N7" s="11">
        <f t="shared" si="13"/>
        <v>170</v>
      </c>
      <c r="O7" s="11">
        <f t="shared" si="13"/>
        <v>425</v>
      </c>
      <c r="P7" s="11">
        <f t="shared" si="13"/>
        <v>357</v>
      </c>
      <c r="Q7" s="11">
        <f t="shared" si="13"/>
        <v>382.5</v>
      </c>
      <c r="R7" s="11">
        <f t="shared" si="13"/>
        <v>484.5</v>
      </c>
      <c r="S7" s="12">
        <f t="shared" si="14"/>
        <v>0</v>
      </c>
      <c r="T7" s="12">
        <f t="shared" si="10"/>
        <v>42.5</v>
      </c>
      <c r="U7" s="12">
        <f t="shared" si="10"/>
        <v>8.5</v>
      </c>
      <c r="V7" s="12">
        <f t="shared" si="10"/>
        <v>21.25</v>
      </c>
      <c r="W7" s="12">
        <f t="shared" si="10"/>
        <v>72.25</v>
      </c>
      <c r="X7" s="14">
        <f t="shared" si="11"/>
        <v>170</v>
      </c>
      <c r="Y7" s="14">
        <f t="shared" si="12"/>
        <v>467.5</v>
      </c>
      <c r="Z7" s="14">
        <f t="shared" si="12"/>
        <v>365.5</v>
      </c>
      <c r="AA7" s="14">
        <f t="shared" si="12"/>
        <v>403.75</v>
      </c>
      <c r="AB7" s="14">
        <f t="shared" si="12"/>
        <v>556.75</v>
      </c>
      <c r="AD7" s="4">
        <f t="shared" si="15"/>
        <v>1963.5</v>
      </c>
    </row>
    <row r="8" spans="1:30">
      <c r="A8" t="s">
        <v>8</v>
      </c>
      <c r="B8" t="s">
        <v>21</v>
      </c>
      <c r="C8" s="4">
        <v>56</v>
      </c>
      <c r="D8" s="6">
        <v>47</v>
      </c>
      <c r="E8" s="6">
        <v>42</v>
      </c>
      <c r="F8" s="6">
        <v>44</v>
      </c>
      <c r="G8" s="6">
        <v>54</v>
      </c>
      <c r="H8" s="6">
        <v>54</v>
      </c>
      <c r="I8" s="7">
        <f t="shared" si="5"/>
        <v>7</v>
      </c>
      <c r="J8" s="7">
        <f t="shared" si="6"/>
        <v>2</v>
      </c>
      <c r="K8" s="7">
        <f t="shared" si="7"/>
        <v>4</v>
      </c>
      <c r="L8" s="7">
        <f t="shared" si="8"/>
        <v>14</v>
      </c>
      <c r="M8" s="7">
        <f t="shared" si="9"/>
        <v>14</v>
      </c>
      <c r="N8" s="11">
        <f t="shared" si="13"/>
        <v>2632</v>
      </c>
      <c r="O8" s="11">
        <f t="shared" si="13"/>
        <v>2352</v>
      </c>
      <c r="P8" s="11">
        <f t="shared" si="13"/>
        <v>2464</v>
      </c>
      <c r="Q8" s="11">
        <f t="shared" si="13"/>
        <v>3024</v>
      </c>
      <c r="R8" s="11">
        <f t="shared" si="13"/>
        <v>3024</v>
      </c>
      <c r="S8" s="12">
        <f t="shared" si="14"/>
        <v>196</v>
      </c>
      <c r="T8" s="12">
        <f t="shared" si="10"/>
        <v>56</v>
      </c>
      <c r="U8" s="12">
        <f t="shared" si="10"/>
        <v>112</v>
      </c>
      <c r="V8" s="12">
        <f t="shared" si="10"/>
        <v>392</v>
      </c>
      <c r="W8" s="12">
        <f t="shared" si="10"/>
        <v>392</v>
      </c>
      <c r="X8" s="14">
        <f t="shared" si="11"/>
        <v>2828</v>
      </c>
      <c r="Y8" s="14">
        <f t="shared" si="12"/>
        <v>2408</v>
      </c>
      <c r="Z8" s="14">
        <f t="shared" si="12"/>
        <v>2576</v>
      </c>
      <c r="AA8" s="14">
        <f t="shared" si="12"/>
        <v>3416</v>
      </c>
      <c r="AB8" s="14">
        <f t="shared" si="12"/>
        <v>3416</v>
      </c>
      <c r="AD8" s="4">
        <f t="shared" si="15"/>
        <v>14644</v>
      </c>
    </row>
    <row r="9" spans="1:30">
      <c r="A9" t="s">
        <v>9</v>
      </c>
      <c r="B9" t="s">
        <v>22</v>
      </c>
      <c r="C9" s="4">
        <v>32.5</v>
      </c>
      <c r="D9" s="6">
        <v>68</v>
      </c>
      <c r="E9" s="6">
        <v>42</v>
      </c>
      <c r="F9" s="6">
        <v>48</v>
      </c>
      <c r="G9" s="6">
        <v>41</v>
      </c>
      <c r="H9" s="6">
        <v>59</v>
      </c>
      <c r="I9" s="7">
        <f t="shared" si="5"/>
        <v>28</v>
      </c>
      <c r="J9" s="7">
        <f t="shared" si="6"/>
        <v>2</v>
      </c>
      <c r="K9" s="7">
        <f t="shared" si="7"/>
        <v>8</v>
      </c>
      <c r="L9" s="7">
        <f t="shared" si="8"/>
        <v>1</v>
      </c>
      <c r="M9" s="7">
        <f t="shared" si="9"/>
        <v>19</v>
      </c>
      <c r="N9" s="11">
        <f t="shared" si="13"/>
        <v>2210</v>
      </c>
      <c r="O9" s="11">
        <f t="shared" si="13"/>
        <v>1365</v>
      </c>
      <c r="P9" s="11">
        <f t="shared" si="13"/>
        <v>1560</v>
      </c>
      <c r="Q9" s="11">
        <f t="shared" si="13"/>
        <v>1332.5</v>
      </c>
      <c r="R9" s="11">
        <f t="shared" si="13"/>
        <v>1917.5</v>
      </c>
      <c r="S9" s="12">
        <f t="shared" si="14"/>
        <v>455</v>
      </c>
      <c r="T9" s="12">
        <f t="shared" si="10"/>
        <v>32.5</v>
      </c>
      <c r="U9" s="12">
        <f t="shared" si="10"/>
        <v>130</v>
      </c>
      <c r="V9" s="12">
        <f t="shared" si="10"/>
        <v>16.25</v>
      </c>
      <c r="W9" s="12">
        <f t="shared" si="10"/>
        <v>308.75</v>
      </c>
      <c r="X9" s="14">
        <f t="shared" si="11"/>
        <v>2665</v>
      </c>
      <c r="Y9" s="14">
        <f t="shared" si="12"/>
        <v>1397.5</v>
      </c>
      <c r="Z9" s="14">
        <f t="shared" si="12"/>
        <v>1690</v>
      </c>
      <c r="AA9" s="14">
        <f t="shared" si="12"/>
        <v>1348.75</v>
      </c>
      <c r="AB9" s="14">
        <f t="shared" si="12"/>
        <v>2226.25</v>
      </c>
      <c r="AD9" s="4">
        <f t="shared" si="15"/>
        <v>9327.5</v>
      </c>
    </row>
    <row r="10" spans="1:30">
      <c r="A10" t="s">
        <v>10</v>
      </c>
      <c r="B10" t="s">
        <v>23</v>
      </c>
      <c r="C10" s="4">
        <v>16</v>
      </c>
      <c r="D10" s="6">
        <v>41</v>
      </c>
      <c r="E10" s="6">
        <v>38</v>
      </c>
      <c r="F10" s="6">
        <v>49</v>
      </c>
      <c r="G10" s="6">
        <v>44</v>
      </c>
      <c r="H10" s="6">
        <v>52</v>
      </c>
      <c r="I10" s="7">
        <f t="shared" si="5"/>
        <v>1</v>
      </c>
      <c r="J10" s="7">
        <f t="shared" si="6"/>
        <v>0</v>
      </c>
      <c r="K10" s="7">
        <f t="shared" si="7"/>
        <v>9</v>
      </c>
      <c r="L10" s="7">
        <f t="shared" si="8"/>
        <v>4</v>
      </c>
      <c r="M10" s="7">
        <f t="shared" si="9"/>
        <v>12</v>
      </c>
      <c r="N10" s="11">
        <f t="shared" si="13"/>
        <v>656</v>
      </c>
      <c r="O10" s="11">
        <f t="shared" si="13"/>
        <v>608</v>
      </c>
      <c r="P10" s="11">
        <f t="shared" si="13"/>
        <v>784</v>
      </c>
      <c r="Q10" s="11">
        <f t="shared" si="13"/>
        <v>704</v>
      </c>
      <c r="R10" s="11">
        <f t="shared" si="13"/>
        <v>832</v>
      </c>
      <c r="S10" s="12">
        <f t="shared" si="14"/>
        <v>8</v>
      </c>
      <c r="T10" s="12">
        <f t="shared" si="10"/>
        <v>0</v>
      </c>
      <c r="U10" s="12">
        <f t="shared" si="10"/>
        <v>72</v>
      </c>
      <c r="V10" s="12">
        <f t="shared" si="10"/>
        <v>32</v>
      </c>
      <c r="W10" s="12">
        <f t="shared" si="10"/>
        <v>96</v>
      </c>
      <c r="X10" s="14">
        <f t="shared" si="11"/>
        <v>664</v>
      </c>
      <c r="Y10" s="14">
        <f t="shared" si="12"/>
        <v>608</v>
      </c>
      <c r="Z10" s="14">
        <f t="shared" si="12"/>
        <v>856</v>
      </c>
      <c r="AA10" s="14">
        <f t="shared" si="12"/>
        <v>736</v>
      </c>
      <c r="AB10" s="14">
        <f t="shared" si="12"/>
        <v>928</v>
      </c>
      <c r="AD10" s="4">
        <f t="shared" si="15"/>
        <v>3792</v>
      </c>
    </row>
    <row r="11" spans="1:30">
      <c r="A11" t="s">
        <v>11</v>
      </c>
      <c r="B11" t="s">
        <v>24</v>
      </c>
      <c r="C11" s="4">
        <v>23</v>
      </c>
      <c r="D11" s="6">
        <v>32</v>
      </c>
      <c r="E11" s="6">
        <v>35</v>
      </c>
      <c r="F11" s="6">
        <v>52</v>
      </c>
      <c r="G11" s="6">
        <v>48</v>
      </c>
      <c r="H11" s="6">
        <v>41</v>
      </c>
      <c r="I11" s="7">
        <f t="shared" si="5"/>
        <v>0</v>
      </c>
      <c r="J11" s="7">
        <f t="shared" si="6"/>
        <v>0</v>
      </c>
      <c r="K11" s="7">
        <f t="shared" si="7"/>
        <v>12</v>
      </c>
      <c r="L11" s="7">
        <f t="shared" si="8"/>
        <v>8</v>
      </c>
      <c r="M11" s="7">
        <f t="shared" si="9"/>
        <v>1</v>
      </c>
      <c r="N11" s="11">
        <f t="shared" si="13"/>
        <v>736</v>
      </c>
      <c r="O11" s="11">
        <f t="shared" si="13"/>
        <v>805</v>
      </c>
      <c r="P11" s="11">
        <f t="shared" si="13"/>
        <v>1196</v>
      </c>
      <c r="Q11" s="11">
        <f t="shared" si="13"/>
        <v>1104</v>
      </c>
      <c r="R11" s="11">
        <f t="shared" si="13"/>
        <v>943</v>
      </c>
      <c r="S11" s="12">
        <f t="shared" si="14"/>
        <v>0</v>
      </c>
      <c r="T11" s="12">
        <f t="shared" si="10"/>
        <v>0</v>
      </c>
      <c r="U11" s="12">
        <f t="shared" si="10"/>
        <v>138</v>
      </c>
      <c r="V11" s="12">
        <f t="shared" si="10"/>
        <v>92</v>
      </c>
      <c r="W11" s="12">
        <f t="shared" si="10"/>
        <v>11.5</v>
      </c>
      <c r="X11" s="14">
        <f t="shared" si="11"/>
        <v>736</v>
      </c>
      <c r="Y11" s="14">
        <f t="shared" si="12"/>
        <v>805</v>
      </c>
      <c r="Z11" s="14">
        <f t="shared" si="12"/>
        <v>1334</v>
      </c>
      <c r="AA11" s="14">
        <f t="shared" si="12"/>
        <v>1196</v>
      </c>
      <c r="AB11" s="14">
        <f t="shared" si="12"/>
        <v>954.5</v>
      </c>
      <c r="AD11" s="4">
        <f t="shared" si="15"/>
        <v>5025.5</v>
      </c>
    </row>
    <row r="12" spans="1:30">
      <c r="A12" t="s">
        <v>12</v>
      </c>
      <c r="B12" t="s">
        <v>25</v>
      </c>
      <c r="C12" s="4">
        <v>28.5</v>
      </c>
      <c r="D12" s="6">
        <v>33</v>
      </c>
      <c r="E12" s="6">
        <v>51</v>
      </c>
      <c r="F12" s="6">
        <v>54</v>
      </c>
      <c r="G12" s="6">
        <v>55</v>
      </c>
      <c r="H12" s="6">
        <v>26</v>
      </c>
      <c r="I12" s="7">
        <f t="shared" si="5"/>
        <v>0</v>
      </c>
      <c r="J12" s="7">
        <f t="shared" si="6"/>
        <v>11</v>
      </c>
      <c r="K12" s="7">
        <f t="shared" si="7"/>
        <v>14</v>
      </c>
      <c r="L12" s="7">
        <f t="shared" si="8"/>
        <v>15</v>
      </c>
      <c r="M12" s="7">
        <f t="shared" si="9"/>
        <v>0</v>
      </c>
      <c r="N12" s="11">
        <f t="shared" si="13"/>
        <v>940.5</v>
      </c>
      <c r="O12" s="11">
        <f t="shared" si="13"/>
        <v>1453.5</v>
      </c>
      <c r="P12" s="11">
        <f t="shared" si="13"/>
        <v>1539</v>
      </c>
      <c r="Q12" s="11">
        <f t="shared" si="13"/>
        <v>1567.5</v>
      </c>
      <c r="R12" s="11">
        <f t="shared" si="13"/>
        <v>741</v>
      </c>
      <c r="S12" s="12">
        <f t="shared" si="14"/>
        <v>0</v>
      </c>
      <c r="T12" s="12">
        <f t="shared" si="10"/>
        <v>156.75</v>
      </c>
      <c r="U12" s="12">
        <f t="shared" si="10"/>
        <v>199.5</v>
      </c>
      <c r="V12" s="12">
        <f t="shared" si="10"/>
        <v>213.75</v>
      </c>
      <c r="W12" s="12">
        <f t="shared" si="10"/>
        <v>0</v>
      </c>
      <c r="X12" s="14">
        <f t="shared" si="11"/>
        <v>940.5</v>
      </c>
      <c r="Y12" s="14">
        <f t="shared" si="12"/>
        <v>1610.25</v>
      </c>
      <c r="Z12" s="14">
        <f t="shared" si="12"/>
        <v>1738.5</v>
      </c>
      <c r="AA12" s="14">
        <f t="shared" si="12"/>
        <v>1781.25</v>
      </c>
      <c r="AB12" s="14">
        <f t="shared" si="12"/>
        <v>741</v>
      </c>
      <c r="AD12" s="4">
        <f t="shared" si="15"/>
        <v>6811.5</v>
      </c>
    </row>
    <row r="13" spans="1:30">
      <c r="A13" t="s">
        <v>13</v>
      </c>
      <c r="B13" t="s">
        <v>26</v>
      </c>
      <c r="C13" s="4">
        <v>3</v>
      </c>
      <c r="D13" s="6">
        <v>31</v>
      </c>
      <c r="E13" s="6">
        <v>55</v>
      </c>
      <c r="F13" s="6">
        <v>59</v>
      </c>
      <c r="G13" s="6">
        <v>57</v>
      </c>
      <c r="H13" s="6">
        <v>44</v>
      </c>
      <c r="I13" s="7">
        <f t="shared" si="5"/>
        <v>0</v>
      </c>
      <c r="J13" s="7">
        <f t="shared" si="6"/>
        <v>15</v>
      </c>
      <c r="K13" s="7">
        <f t="shared" si="7"/>
        <v>19</v>
      </c>
      <c r="L13" s="7">
        <f t="shared" si="8"/>
        <v>17</v>
      </c>
      <c r="M13" s="7">
        <f t="shared" si="9"/>
        <v>4</v>
      </c>
      <c r="N13" s="11">
        <f t="shared" si="13"/>
        <v>93</v>
      </c>
      <c r="O13" s="11">
        <f t="shared" si="13"/>
        <v>165</v>
      </c>
      <c r="P13" s="11">
        <f t="shared" si="13"/>
        <v>177</v>
      </c>
      <c r="Q13" s="11">
        <f t="shared" si="13"/>
        <v>171</v>
      </c>
      <c r="R13" s="11">
        <f t="shared" si="13"/>
        <v>132</v>
      </c>
      <c r="S13" s="12">
        <f t="shared" si="14"/>
        <v>0</v>
      </c>
      <c r="T13" s="12">
        <f t="shared" si="10"/>
        <v>22.5</v>
      </c>
      <c r="U13" s="12">
        <f t="shared" si="10"/>
        <v>28.5</v>
      </c>
      <c r="V13" s="12">
        <f t="shared" si="10"/>
        <v>25.5</v>
      </c>
      <c r="W13" s="12">
        <f t="shared" si="10"/>
        <v>6</v>
      </c>
      <c r="X13" s="14">
        <f t="shared" si="11"/>
        <v>93</v>
      </c>
      <c r="Y13" s="14">
        <f t="shared" si="12"/>
        <v>187.5</v>
      </c>
      <c r="Z13" s="14">
        <f t="shared" si="12"/>
        <v>205.5</v>
      </c>
      <c r="AA13" s="14">
        <f t="shared" si="12"/>
        <v>196.5</v>
      </c>
      <c r="AB13" s="14">
        <f t="shared" si="12"/>
        <v>138</v>
      </c>
      <c r="AD13" s="4">
        <f t="shared" si="15"/>
        <v>820.5</v>
      </c>
    </row>
    <row r="14" spans="1:30">
      <c r="A14" t="s">
        <v>14</v>
      </c>
      <c r="B14" t="s">
        <v>27</v>
      </c>
      <c r="C14" s="4">
        <v>37</v>
      </c>
      <c r="D14" s="6">
        <v>30</v>
      </c>
      <c r="E14" s="6">
        <v>54</v>
      </c>
      <c r="F14" s="6">
        <v>41</v>
      </c>
      <c r="G14" s="6">
        <v>59</v>
      </c>
      <c r="H14" s="6">
        <v>54</v>
      </c>
      <c r="I14" s="7">
        <f t="shared" si="5"/>
        <v>0</v>
      </c>
      <c r="J14" s="7">
        <f t="shared" si="6"/>
        <v>14</v>
      </c>
      <c r="K14" s="7">
        <f t="shared" si="7"/>
        <v>1</v>
      </c>
      <c r="L14" s="7">
        <f t="shared" si="8"/>
        <v>19</v>
      </c>
      <c r="M14" s="7">
        <f t="shared" si="9"/>
        <v>14</v>
      </c>
      <c r="N14" s="11">
        <f t="shared" si="13"/>
        <v>1110</v>
      </c>
      <c r="O14" s="11">
        <f t="shared" si="13"/>
        <v>1998</v>
      </c>
      <c r="P14" s="11">
        <f t="shared" si="13"/>
        <v>1517</v>
      </c>
      <c r="Q14" s="11">
        <f t="shared" si="13"/>
        <v>2183</v>
      </c>
      <c r="R14" s="11">
        <f t="shared" si="13"/>
        <v>1998</v>
      </c>
      <c r="S14" s="12">
        <f t="shared" si="14"/>
        <v>0</v>
      </c>
      <c r="T14" s="12">
        <f t="shared" si="10"/>
        <v>259</v>
      </c>
      <c r="U14" s="12">
        <f t="shared" si="10"/>
        <v>18.5</v>
      </c>
      <c r="V14" s="12">
        <f t="shared" si="10"/>
        <v>351.5</v>
      </c>
      <c r="W14" s="12">
        <f t="shared" si="10"/>
        <v>259</v>
      </c>
      <c r="X14" s="14">
        <f t="shared" si="11"/>
        <v>1110</v>
      </c>
      <c r="Y14" s="14">
        <f t="shared" si="12"/>
        <v>2257</v>
      </c>
      <c r="Z14" s="14">
        <f t="shared" si="12"/>
        <v>1535.5</v>
      </c>
      <c r="AA14" s="14">
        <f t="shared" si="12"/>
        <v>2534.5</v>
      </c>
      <c r="AB14" s="14">
        <f t="shared" si="12"/>
        <v>2257</v>
      </c>
      <c r="AD14" s="4">
        <f t="shared" si="15"/>
        <v>9694</v>
      </c>
    </row>
    <row r="15" spans="1:30">
      <c r="A15" t="s">
        <v>15</v>
      </c>
      <c r="B15" t="s">
        <v>28</v>
      </c>
      <c r="C15" s="4">
        <v>35</v>
      </c>
      <c r="D15" s="6">
        <v>30</v>
      </c>
      <c r="E15" s="6">
        <v>60</v>
      </c>
      <c r="F15" s="6">
        <v>44</v>
      </c>
      <c r="G15" s="6">
        <v>54</v>
      </c>
      <c r="H15" s="6">
        <v>42</v>
      </c>
      <c r="I15" s="7">
        <f t="shared" si="5"/>
        <v>0</v>
      </c>
      <c r="J15" s="7">
        <f t="shared" si="6"/>
        <v>20</v>
      </c>
      <c r="K15" s="7">
        <f t="shared" si="7"/>
        <v>4</v>
      </c>
      <c r="L15" s="7">
        <f t="shared" si="8"/>
        <v>14</v>
      </c>
      <c r="M15" s="7">
        <f t="shared" si="9"/>
        <v>2</v>
      </c>
      <c r="N15" s="11">
        <f t="shared" si="13"/>
        <v>1050</v>
      </c>
      <c r="O15" s="11">
        <f t="shared" si="13"/>
        <v>2100</v>
      </c>
      <c r="P15" s="11">
        <f t="shared" si="13"/>
        <v>1540</v>
      </c>
      <c r="Q15" s="11">
        <f t="shared" si="13"/>
        <v>1890</v>
      </c>
      <c r="R15" s="11">
        <f t="shared" si="13"/>
        <v>1470</v>
      </c>
      <c r="S15" s="12">
        <f t="shared" si="14"/>
        <v>0</v>
      </c>
      <c r="T15" s="12">
        <f t="shared" si="10"/>
        <v>350</v>
      </c>
      <c r="U15" s="12">
        <f t="shared" si="10"/>
        <v>70</v>
      </c>
      <c r="V15" s="12">
        <f t="shared" si="10"/>
        <v>245</v>
      </c>
      <c r="W15" s="12">
        <f t="shared" si="10"/>
        <v>35</v>
      </c>
      <c r="X15" s="14">
        <f t="shared" si="11"/>
        <v>1050</v>
      </c>
      <c r="Y15" s="14">
        <f t="shared" si="12"/>
        <v>2450</v>
      </c>
      <c r="Z15" s="14">
        <f t="shared" si="12"/>
        <v>1610</v>
      </c>
      <c r="AA15" s="14">
        <f t="shared" si="12"/>
        <v>2135</v>
      </c>
      <c r="AB15" s="14">
        <f t="shared" si="12"/>
        <v>1505</v>
      </c>
      <c r="AD15" s="4">
        <f t="shared" si="15"/>
        <v>8750</v>
      </c>
    </row>
    <row r="16" spans="1:30">
      <c r="A16" t="s">
        <v>17</v>
      </c>
      <c r="B16" t="s">
        <v>29</v>
      </c>
      <c r="C16" s="4">
        <v>23</v>
      </c>
      <c r="D16" s="6">
        <v>14</v>
      </c>
      <c r="E16" s="6">
        <v>40</v>
      </c>
      <c r="F16" s="6">
        <v>43</v>
      </c>
      <c r="G16" s="6">
        <v>51</v>
      </c>
      <c r="H16" s="6">
        <v>47</v>
      </c>
      <c r="I16" s="7">
        <f t="shared" si="5"/>
        <v>0</v>
      </c>
      <c r="J16" s="7">
        <f t="shared" si="6"/>
        <v>0</v>
      </c>
      <c r="K16" s="7">
        <f t="shared" si="7"/>
        <v>3</v>
      </c>
      <c r="L16" s="7">
        <f t="shared" si="8"/>
        <v>11</v>
      </c>
      <c r="M16" s="7">
        <f t="shared" si="9"/>
        <v>7</v>
      </c>
      <c r="N16" s="11">
        <f t="shared" si="13"/>
        <v>322</v>
      </c>
      <c r="O16" s="11">
        <f t="shared" si="13"/>
        <v>920</v>
      </c>
      <c r="P16" s="11">
        <f t="shared" si="13"/>
        <v>989</v>
      </c>
      <c r="Q16" s="11">
        <f t="shared" si="13"/>
        <v>1173</v>
      </c>
      <c r="R16" s="11">
        <f t="shared" si="13"/>
        <v>1081</v>
      </c>
      <c r="S16" s="12">
        <f t="shared" si="14"/>
        <v>0</v>
      </c>
      <c r="T16" s="12">
        <f t="shared" si="10"/>
        <v>0</v>
      </c>
      <c r="U16" s="12">
        <f t="shared" si="10"/>
        <v>34.5</v>
      </c>
      <c r="V16" s="12">
        <f t="shared" si="10"/>
        <v>126.5</v>
      </c>
      <c r="W16" s="12">
        <f t="shared" si="10"/>
        <v>80.5</v>
      </c>
      <c r="X16" s="14">
        <f t="shared" si="11"/>
        <v>322</v>
      </c>
      <c r="Y16" s="14">
        <f t="shared" si="12"/>
        <v>920</v>
      </c>
      <c r="Z16" s="14">
        <f t="shared" si="12"/>
        <v>1023.5</v>
      </c>
      <c r="AA16" s="14">
        <f t="shared" si="12"/>
        <v>1299.5</v>
      </c>
      <c r="AB16" s="14">
        <f t="shared" si="12"/>
        <v>1161.5</v>
      </c>
      <c r="AD16" s="4">
        <f t="shared" si="15"/>
        <v>4726.5</v>
      </c>
    </row>
    <row r="17" spans="1:30">
      <c r="C17" s="4"/>
      <c r="O17" s="2"/>
      <c r="P17" s="2"/>
      <c r="Q17" s="2"/>
      <c r="R17" s="2"/>
    </row>
    <row r="18" spans="1:30">
      <c r="C18" s="4"/>
      <c r="O18" s="2"/>
      <c r="P18" s="2"/>
      <c r="Q18" s="2"/>
      <c r="R18" s="2"/>
    </row>
    <row r="19" spans="1:30">
      <c r="A19" t="s">
        <v>30</v>
      </c>
      <c r="C19" s="4">
        <f>MAX(C4:C16)</f>
        <v>56</v>
      </c>
      <c r="D19" s="5">
        <f>MAX(D4:D16)</f>
        <v>68</v>
      </c>
      <c r="E19" s="4">
        <f t="shared" ref="E19:K19" si="16">MAX(E4:E16)</f>
        <v>60</v>
      </c>
      <c r="F19" s="5">
        <f t="shared" si="16"/>
        <v>59</v>
      </c>
      <c r="G19" s="4">
        <f t="shared" si="16"/>
        <v>59</v>
      </c>
      <c r="H19" s="5">
        <f t="shared" si="16"/>
        <v>60</v>
      </c>
      <c r="I19" s="4">
        <f t="shared" si="16"/>
        <v>28</v>
      </c>
      <c r="J19" s="5">
        <f t="shared" si="16"/>
        <v>20</v>
      </c>
      <c r="K19" s="4">
        <f t="shared" si="16"/>
        <v>19</v>
      </c>
      <c r="L19" s="4">
        <f>MAX(L4:L16)</f>
        <v>19</v>
      </c>
      <c r="M19" s="5">
        <f>MAX(M4:M16)</f>
        <v>20</v>
      </c>
      <c r="N19" s="4">
        <f>MAX(N4:N16)</f>
        <v>2632</v>
      </c>
      <c r="O19" s="5">
        <f t="shared" ref="O19:R19" si="17">MAX(O4:O16)</f>
        <v>2352</v>
      </c>
      <c r="P19" s="4">
        <f t="shared" si="17"/>
        <v>2464</v>
      </c>
      <c r="Q19" s="5">
        <f t="shared" si="17"/>
        <v>3024</v>
      </c>
      <c r="R19" s="4">
        <f t="shared" si="17"/>
        <v>3024</v>
      </c>
      <c r="S19" s="4">
        <f>MAX(S4:S16)</f>
        <v>455</v>
      </c>
      <c r="T19" s="4">
        <f t="shared" ref="T19:W19" si="18">MAX(T4:T16)</f>
        <v>350</v>
      </c>
      <c r="U19" s="4">
        <f t="shared" si="18"/>
        <v>199.5</v>
      </c>
      <c r="V19" s="4">
        <f t="shared" si="18"/>
        <v>392</v>
      </c>
      <c r="W19" s="4">
        <f t="shared" si="18"/>
        <v>392</v>
      </c>
      <c r="X19" s="4">
        <f>MAX(X4:X16)</f>
        <v>2828</v>
      </c>
      <c r="Y19" s="4">
        <f t="shared" ref="Y19:AB19" si="19">MAX(Y4:Y16)</f>
        <v>2450</v>
      </c>
      <c r="Z19" s="4">
        <f t="shared" si="19"/>
        <v>2576</v>
      </c>
      <c r="AA19" s="4">
        <f t="shared" si="19"/>
        <v>3416</v>
      </c>
      <c r="AB19" s="4">
        <f t="shared" si="19"/>
        <v>3416</v>
      </c>
      <c r="AC19" s="4"/>
      <c r="AD19" s="4">
        <f t="shared" ref="AD19" si="20">MAX(AD4:AD16)</f>
        <v>14644</v>
      </c>
    </row>
    <row r="20" spans="1:30">
      <c r="A20" t="s">
        <v>31</v>
      </c>
      <c r="C20" s="4">
        <f>MIN(C4:C16)</f>
        <v>3</v>
      </c>
      <c r="D20" s="5">
        <f>MIN(D4:D16)</f>
        <v>14</v>
      </c>
      <c r="E20" s="4">
        <f t="shared" ref="E20:K20" si="21">MIN(E4:E16)</f>
        <v>35</v>
      </c>
      <c r="F20" s="5">
        <f t="shared" si="21"/>
        <v>38</v>
      </c>
      <c r="G20" s="4">
        <f t="shared" si="21"/>
        <v>28</v>
      </c>
      <c r="H20" s="5">
        <f t="shared" si="21"/>
        <v>26</v>
      </c>
      <c r="I20" s="4">
        <f t="shared" si="21"/>
        <v>0</v>
      </c>
      <c r="J20" s="5">
        <f t="shared" si="21"/>
        <v>0</v>
      </c>
      <c r="K20" s="4">
        <f t="shared" si="21"/>
        <v>0</v>
      </c>
      <c r="L20" s="4">
        <f>MIN(L4:L16)</f>
        <v>0</v>
      </c>
      <c r="M20" s="5">
        <f>MIN(M4:M16)</f>
        <v>0</v>
      </c>
      <c r="N20" s="4">
        <f>MIN(N4:N16)</f>
        <v>93</v>
      </c>
      <c r="O20" s="5">
        <f t="shared" ref="O20:R20" si="22">MIN(O4:O16)</f>
        <v>123</v>
      </c>
      <c r="P20" s="4">
        <f t="shared" si="22"/>
        <v>120</v>
      </c>
      <c r="Q20" s="5">
        <f t="shared" si="22"/>
        <v>117</v>
      </c>
      <c r="R20" s="4">
        <f t="shared" si="22"/>
        <v>132</v>
      </c>
      <c r="S20" s="4">
        <f>MIN(S4:S16)</f>
        <v>0</v>
      </c>
      <c r="T20" s="4">
        <f t="shared" ref="T20:W20" si="23">MIN(T4:T16)</f>
        <v>0</v>
      </c>
      <c r="U20" s="4">
        <f t="shared" si="23"/>
        <v>0</v>
      </c>
      <c r="V20" s="4">
        <f t="shared" si="23"/>
        <v>0</v>
      </c>
      <c r="W20" s="4">
        <f t="shared" si="23"/>
        <v>0</v>
      </c>
      <c r="X20" s="4">
        <f>MIN(X4:X16)</f>
        <v>93</v>
      </c>
      <c r="Y20" s="4">
        <f t="shared" ref="Y20:AB20" si="24">MIN(Y4:Y16)</f>
        <v>124.5</v>
      </c>
      <c r="Z20" s="4">
        <f t="shared" si="24"/>
        <v>120</v>
      </c>
      <c r="AA20" s="4">
        <f t="shared" si="24"/>
        <v>117</v>
      </c>
      <c r="AB20" s="4">
        <f t="shared" si="24"/>
        <v>138</v>
      </c>
      <c r="AC20" s="4"/>
      <c r="AD20" s="4">
        <f t="shared" ref="AD20" si="25">MIN(AD4:AD16)</f>
        <v>723</v>
      </c>
    </row>
    <row r="21" spans="1:30">
      <c r="A21" t="s">
        <v>32</v>
      </c>
      <c r="C21" s="4">
        <f>AVERAGE(C4:C16)</f>
        <v>22.415384615384614</v>
      </c>
      <c r="D21" s="5">
        <f>AVERAGE(D4:D16)</f>
        <v>36.615384615384613</v>
      </c>
      <c r="E21" s="4">
        <f t="shared" ref="E21:K21" si="26">AVERAGE(E4:E16)</f>
        <v>46.153846153846153</v>
      </c>
      <c r="F21" s="5">
        <f t="shared" si="26"/>
        <v>45.615384615384613</v>
      </c>
      <c r="G21" s="4">
        <f t="shared" si="26"/>
        <v>47.692307692307693</v>
      </c>
      <c r="H21" s="5">
        <f t="shared" si="26"/>
        <v>49.53846153846154</v>
      </c>
      <c r="I21" s="4">
        <f t="shared" si="26"/>
        <v>3.5384615384615383</v>
      </c>
      <c r="J21" s="5">
        <f t="shared" si="26"/>
        <v>6.6923076923076925</v>
      </c>
      <c r="K21" s="4">
        <f t="shared" si="26"/>
        <v>5.8461538461538458</v>
      </c>
      <c r="L21" s="4">
        <f>AVERAGE(L4:L16)</f>
        <v>8.6923076923076916</v>
      </c>
      <c r="M21" s="5">
        <f>AVERAGE(M4:M16)</f>
        <v>10.615384615384615</v>
      </c>
      <c r="N21" s="4">
        <f>AVERAGE(N4:N16)</f>
        <v>855.26153846153841</v>
      </c>
      <c r="O21" s="5">
        <f t="shared" ref="O21:R21" si="27">AVERAGE(O4:O16)</f>
        <v>1036.1923076923076</v>
      </c>
      <c r="P21" s="4">
        <f t="shared" si="27"/>
        <v>1018.2461538461539</v>
      </c>
      <c r="Q21" s="5">
        <f t="shared" si="27"/>
        <v>1126.4615384615386</v>
      </c>
      <c r="R21" s="4">
        <f t="shared" si="27"/>
        <v>1091.6923076923076</v>
      </c>
      <c r="S21" s="4">
        <f>AVERAGE(S4:S16)</f>
        <v>52.342307692307699</v>
      </c>
      <c r="T21" s="4">
        <f t="shared" ref="T21:W21" si="28">AVERAGE(T4:T16)</f>
        <v>75.442307692307693</v>
      </c>
      <c r="U21" s="4">
        <f t="shared" si="28"/>
        <v>62.42307692307692</v>
      </c>
      <c r="V21" s="4">
        <f t="shared" si="28"/>
        <v>119.65384615384616</v>
      </c>
      <c r="W21" s="4">
        <f t="shared" si="28"/>
        <v>112.88461538461539</v>
      </c>
      <c r="X21" s="4">
        <f>AVERAGE(X4:X16)</f>
        <v>907.60384615384623</v>
      </c>
      <c r="Y21" s="4">
        <f t="shared" ref="Y21:AB21" si="29">AVERAGE(Y4:Y16)</f>
        <v>1111.6346153846155</v>
      </c>
      <c r="Z21" s="4">
        <f t="shared" si="29"/>
        <v>1080.6692307692308</v>
      </c>
      <c r="AA21" s="4">
        <f t="shared" si="29"/>
        <v>1246.1153846153845</v>
      </c>
      <c r="AB21" s="4">
        <f t="shared" si="29"/>
        <v>1204.5769230769231</v>
      </c>
      <c r="AC21" s="4"/>
      <c r="AD21" s="4">
        <f t="shared" ref="AD21" si="30">AVERAGE(AD4:AD16)</f>
        <v>5550.6</v>
      </c>
    </row>
    <row r="22" spans="1:30">
      <c r="A22" t="s">
        <v>33</v>
      </c>
      <c r="C22" s="4">
        <f>SUM(C4:C16)</f>
        <v>291.39999999999998</v>
      </c>
      <c r="D22">
        <f>SUM(D4:D16)</f>
        <v>476</v>
      </c>
      <c r="E22" s="4">
        <f t="shared" ref="E22:K22" si="31">SUM(E4:E16)</f>
        <v>600</v>
      </c>
      <c r="F22">
        <f t="shared" si="31"/>
        <v>593</v>
      </c>
      <c r="G22" s="4">
        <f t="shared" si="31"/>
        <v>620</v>
      </c>
      <c r="H22">
        <f t="shared" si="31"/>
        <v>644</v>
      </c>
      <c r="I22" s="4">
        <f t="shared" si="31"/>
        <v>46</v>
      </c>
      <c r="J22">
        <f t="shared" si="31"/>
        <v>87</v>
      </c>
      <c r="K22" s="4">
        <f t="shared" si="31"/>
        <v>76</v>
      </c>
      <c r="L22" s="4">
        <f>SUM(L4:L16)</f>
        <v>113</v>
      </c>
      <c r="M22">
        <f>SUM(M4:M16)</f>
        <v>138</v>
      </c>
      <c r="N22" s="4">
        <f>SUM(N4:N16)</f>
        <v>11118.4</v>
      </c>
      <c r="O22">
        <f t="shared" ref="O22:R22" si="32">SUM(O4:O16)</f>
        <v>13470.5</v>
      </c>
      <c r="P22" s="4">
        <f t="shared" si="32"/>
        <v>13237.2</v>
      </c>
      <c r="Q22">
        <f t="shared" si="32"/>
        <v>14644</v>
      </c>
      <c r="R22" s="4">
        <f t="shared" si="32"/>
        <v>14192</v>
      </c>
      <c r="S22" s="4">
        <f>SUM(S4:S16)</f>
        <v>680.45</v>
      </c>
      <c r="T22" s="4">
        <f t="shared" ref="T22:W22" si="33">SUM(T4:T16)</f>
        <v>980.75</v>
      </c>
      <c r="U22" s="4">
        <f t="shared" si="33"/>
        <v>811.5</v>
      </c>
      <c r="V22" s="4">
        <f t="shared" si="33"/>
        <v>1555.5</v>
      </c>
      <c r="W22" s="4">
        <f t="shared" si="33"/>
        <v>1467.5</v>
      </c>
      <c r="X22" s="4">
        <f>SUM(X4:X16)</f>
        <v>11798.85</v>
      </c>
      <c r="Y22" s="4">
        <f t="shared" ref="Y22:AB22" si="34">SUM(Y4:Y16)</f>
        <v>14451.25</v>
      </c>
      <c r="Z22" s="4">
        <f t="shared" si="34"/>
        <v>14048.7</v>
      </c>
      <c r="AA22" s="4">
        <f t="shared" si="34"/>
        <v>16199.5</v>
      </c>
      <c r="AB22" s="4">
        <f t="shared" si="34"/>
        <v>15659.5</v>
      </c>
      <c r="AC22" s="4"/>
      <c r="AD22" s="4">
        <f t="shared" ref="AD22" si="35">SUM(AD4:AD16)</f>
        <v>72157.8</v>
      </c>
    </row>
    <row r="23" spans="1:30">
      <c r="O23" s="2"/>
      <c r="P23" s="2"/>
      <c r="Q23" s="2"/>
      <c r="R23" s="2"/>
    </row>
  </sheetData>
  <mergeCells count="5">
    <mergeCell ref="A1:P1"/>
    <mergeCell ref="I2:M2"/>
    <mergeCell ref="D2:H2"/>
    <mergeCell ref="S2:W2"/>
    <mergeCell ref="X2:AB2"/>
  </mergeCells>
  <pageMargins left="0.7" right="0.7" top="0.75" bottom="0.75" header="0.3" footer="0.3"/>
  <pageSetup paperSize="9" scale="2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F700-AB28-46FB-899B-662B4658CBCD}">
  <sheetPr>
    <pageSetUpPr fitToPage="1"/>
  </sheetPr>
  <dimension ref="A1:N27"/>
  <sheetViews>
    <sheetView zoomScale="55" zoomScaleNormal="55" workbookViewId="0">
      <selection activeCell="N23" sqref="N23"/>
    </sheetView>
  </sheetViews>
  <sheetFormatPr defaultRowHeight="14.4"/>
  <cols>
    <col min="1" max="1" width="22.44140625" customWidth="1"/>
    <col min="2" max="2" width="19.5546875" customWidth="1"/>
    <col min="3" max="3" width="5.21875" customWidth="1"/>
    <col min="4" max="4" width="5.109375" customWidth="1"/>
    <col min="5" max="5" width="8.33203125" customWidth="1"/>
    <col min="6" max="6" width="6" customWidth="1"/>
    <col min="8" max="8" width="17.33203125" customWidth="1"/>
    <col min="9" max="9" width="16.33203125" customWidth="1"/>
  </cols>
  <sheetData>
    <row r="1" spans="1:14" ht="97.8">
      <c r="A1" t="s">
        <v>38</v>
      </c>
      <c r="C1" s="17" t="s">
        <v>80</v>
      </c>
      <c r="D1" s="19" t="s">
        <v>81</v>
      </c>
      <c r="E1" s="19" t="s">
        <v>82</v>
      </c>
      <c r="F1" s="19" t="s">
        <v>83</v>
      </c>
      <c r="G1" s="15"/>
      <c r="H1" s="19" t="s">
        <v>80</v>
      </c>
      <c r="I1" s="19" t="s">
        <v>81</v>
      </c>
      <c r="J1" s="19" t="s">
        <v>82</v>
      </c>
      <c r="K1" s="19" t="s">
        <v>83</v>
      </c>
      <c r="L1" s="15"/>
      <c r="M1" s="15"/>
      <c r="N1" s="19" t="s">
        <v>85</v>
      </c>
    </row>
    <row r="2" spans="1:14">
      <c r="B2" t="s">
        <v>84</v>
      </c>
      <c r="C2">
        <v>10</v>
      </c>
      <c r="D2">
        <v>20</v>
      </c>
      <c r="E2">
        <v>100</v>
      </c>
      <c r="F2">
        <v>1</v>
      </c>
    </row>
    <row r="3" spans="1:14">
      <c r="A3" t="s">
        <v>39</v>
      </c>
      <c r="B3" t="s">
        <v>2</v>
      </c>
      <c r="G3" s="17"/>
    </row>
    <row r="4" spans="1:14">
      <c r="A4" s="16" t="s">
        <v>79</v>
      </c>
      <c r="B4" t="s">
        <v>78</v>
      </c>
      <c r="C4">
        <v>5</v>
      </c>
      <c r="D4">
        <v>19</v>
      </c>
      <c r="E4">
        <v>93</v>
      </c>
      <c r="F4">
        <v>1</v>
      </c>
      <c r="H4" s="18">
        <f>C4/C$2</f>
        <v>0.5</v>
      </c>
      <c r="I4" s="18">
        <f t="shared" ref="I4:K19" si="0">D4/D$2</f>
        <v>0.95</v>
      </c>
      <c r="J4" s="18">
        <f t="shared" si="0"/>
        <v>0.93</v>
      </c>
      <c r="K4" s="18">
        <f t="shared" si="0"/>
        <v>1</v>
      </c>
      <c r="L4" s="18"/>
      <c r="N4" t="b">
        <f>OR(H4&lt;0.5,I4&lt;0.5,J4&lt;0.5,K4&lt;0.5)</f>
        <v>0</v>
      </c>
    </row>
    <row r="5" spans="1:14">
      <c r="A5" s="16" t="s">
        <v>41</v>
      </c>
      <c r="B5" s="16" t="s">
        <v>40</v>
      </c>
      <c r="C5">
        <v>2</v>
      </c>
      <c r="D5">
        <v>17</v>
      </c>
      <c r="E5">
        <v>100</v>
      </c>
      <c r="F5">
        <v>1</v>
      </c>
      <c r="H5" s="18">
        <f t="shared" ref="H5:H23" si="1">C5/C$2</f>
        <v>0.2</v>
      </c>
      <c r="I5" s="18">
        <f t="shared" si="0"/>
        <v>0.85</v>
      </c>
      <c r="J5" s="18">
        <f t="shared" si="0"/>
        <v>1</v>
      </c>
      <c r="K5" s="18">
        <f t="shared" si="0"/>
        <v>1</v>
      </c>
      <c r="L5" s="18"/>
      <c r="N5" t="b">
        <f t="shared" ref="N5:N22" si="2">OR(H5&lt;0.5,I5&lt;0.5,J5&lt;0.5,K5&lt;0.5)</f>
        <v>1</v>
      </c>
    </row>
    <row r="6" spans="1:14">
      <c r="A6" s="16" t="s">
        <v>43</v>
      </c>
      <c r="B6" s="16" t="s">
        <v>42</v>
      </c>
      <c r="C6">
        <v>7</v>
      </c>
      <c r="D6">
        <v>15</v>
      </c>
      <c r="E6">
        <v>52</v>
      </c>
      <c r="F6">
        <v>1</v>
      </c>
      <c r="H6" s="18">
        <f t="shared" si="1"/>
        <v>0.7</v>
      </c>
      <c r="I6" s="18">
        <f t="shared" si="0"/>
        <v>0.75</v>
      </c>
      <c r="J6" s="18">
        <f t="shared" si="0"/>
        <v>0.52</v>
      </c>
      <c r="K6" s="18">
        <f t="shared" si="0"/>
        <v>1</v>
      </c>
      <c r="L6" s="18"/>
      <c r="N6" t="b">
        <f t="shared" si="2"/>
        <v>0</v>
      </c>
    </row>
    <row r="7" spans="1:14">
      <c r="A7" s="16" t="s">
        <v>45</v>
      </c>
      <c r="B7" s="16" t="s">
        <v>44</v>
      </c>
      <c r="C7">
        <v>4</v>
      </c>
      <c r="D7">
        <v>13</v>
      </c>
      <c r="E7">
        <v>80</v>
      </c>
      <c r="F7">
        <v>1</v>
      </c>
      <c r="H7" s="18">
        <f t="shared" si="1"/>
        <v>0.4</v>
      </c>
      <c r="I7" s="18">
        <f t="shared" si="0"/>
        <v>0.65</v>
      </c>
      <c r="J7" s="18">
        <f t="shared" si="0"/>
        <v>0.8</v>
      </c>
      <c r="K7" s="18">
        <f t="shared" si="0"/>
        <v>1</v>
      </c>
      <c r="L7" s="18"/>
      <c r="N7" t="b">
        <f t="shared" si="2"/>
        <v>1</v>
      </c>
    </row>
    <row r="8" spans="1:14">
      <c r="A8" s="16" t="s">
        <v>47</v>
      </c>
      <c r="B8" s="16" t="s">
        <v>46</v>
      </c>
      <c r="C8">
        <v>7</v>
      </c>
      <c r="D8">
        <v>16</v>
      </c>
      <c r="E8">
        <v>52</v>
      </c>
      <c r="F8">
        <v>1</v>
      </c>
      <c r="H8" s="18">
        <f t="shared" si="1"/>
        <v>0.7</v>
      </c>
      <c r="I8" s="18">
        <f t="shared" si="0"/>
        <v>0.8</v>
      </c>
      <c r="J8" s="18">
        <f t="shared" si="0"/>
        <v>0.52</v>
      </c>
      <c r="K8" s="18">
        <f t="shared" si="0"/>
        <v>1</v>
      </c>
      <c r="L8" s="18"/>
      <c r="N8" t="b">
        <f t="shared" si="2"/>
        <v>0</v>
      </c>
    </row>
    <row r="9" spans="1:14">
      <c r="A9" s="16" t="s">
        <v>49</v>
      </c>
      <c r="B9" s="16" t="s">
        <v>48</v>
      </c>
      <c r="C9">
        <v>6</v>
      </c>
      <c r="D9">
        <v>15</v>
      </c>
      <c r="E9">
        <v>100</v>
      </c>
      <c r="F9">
        <v>1</v>
      </c>
      <c r="H9" s="18">
        <f t="shared" si="1"/>
        <v>0.6</v>
      </c>
      <c r="I9" s="18">
        <f t="shared" si="0"/>
        <v>0.75</v>
      </c>
      <c r="J9" s="18">
        <f t="shared" si="0"/>
        <v>1</v>
      </c>
      <c r="K9" s="18">
        <f t="shared" si="0"/>
        <v>1</v>
      </c>
      <c r="L9" s="18"/>
      <c r="N9" t="b">
        <f t="shared" si="2"/>
        <v>0</v>
      </c>
    </row>
    <row r="10" spans="1:14">
      <c r="A10" s="16" t="s">
        <v>51</v>
      </c>
      <c r="B10" s="16" t="s">
        <v>50</v>
      </c>
      <c r="C10">
        <v>9</v>
      </c>
      <c r="D10">
        <v>15</v>
      </c>
      <c r="E10">
        <v>100</v>
      </c>
      <c r="F10">
        <v>1</v>
      </c>
      <c r="H10" s="18">
        <f t="shared" si="1"/>
        <v>0.9</v>
      </c>
      <c r="I10" s="18">
        <f t="shared" si="0"/>
        <v>0.75</v>
      </c>
      <c r="J10" s="18">
        <f t="shared" si="0"/>
        <v>1</v>
      </c>
      <c r="K10" s="18">
        <f t="shared" si="0"/>
        <v>1</v>
      </c>
      <c r="L10" s="18"/>
      <c r="N10" t="b">
        <f t="shared" si="2"/>
        <v>0</v>
      </c>
    </row>
    <row r="11" spans="1:14">
      <c r="A11" s="16" t="s">
        <v>53</v>
      </c>
      <c r="B11" s="16" t="s">
        <v>52</v>
      </c>
      <c r="C11">
        <v>1</v>
      </c>
      <c r="D11">
        <v>17</v>
      </c>
      <c r="E11">
        <v>100</v>
      </c>
      <c r="F11">
        <v>0</v>
      </c>
      <c r="H11" s="18">
        <f t="shared" si="1"/>
        <v>0.1</v>
      </c>
      <c r="I11" s="18">
        <f t="shared" si="0"/>
        <v>0.85</v>
      </c>
      <c r="J11" s="18">
        <f t="shared" si="0"/>
        <v>1</v>
      </c>
      <c r="K11" s="18">
        <f t="shared" si="0"/>
        <v>0</v>
      </c>
      <c r="L11" s="18"/>
      <c r="N11" t="b">
        <f t="shared" si="2"/>
        <v>1</v>
      </c>
    </row>
    <row r="12" spans="1:14">
      <c r="A12" s="16" t="s">
        <v>55</v>
      </c>
      <c r="B12" s="16" t="s">
        <v>54</v>
      </c>
      <c r="C12">
        <v>2</v>
      </c>
      <c r="D12">
        <v>18</v>
      </c>
      <c r="E12">
        <v>89</v>
      </c>
      <c r="F12">
        <v>1</v>
      </c>
      <c r="H12" s="18">
        <f t="shared" si="1"/>
        <v>0.2</v>
      </c>
      <c r="I12" s="18">
        <f t="shared" si="0"/>
        <v>0.9</v>
      </c>
      <c r="J12" s="18">
        <f t="shared" si="0"/>
        <v>0.89</v>
      </c>
      <c r="K12" s="18">
        <f t="shared" si="0"/>
        <v>1</v>
      </c>
      <c r="L12" s="18"/>
      <c r="N12" t="b">
        <f t="shared" si="2"/>
        <v>1</v>
      </c>
    </row>
    <row r="13" spans="1:14" ht="18.600000000000001" customHeight="1">
      <c r="A13" s="16" t="s">
        <v>57</v>
      </c>
      <c r="B13" s="16" t="s">
        <v>56</v>
      </c>
      <c r="C13">
        <v>1</v>
      </c>
      <c r="D13">
        <v>19</v>
      </c>
      <c r="E13">
        <v>90</v>
      </c>
      <c r="F13">
        <v>0</v>
      </c>
      <c r="H13" s="18">
        <f t="shared" si="1"/>
        <v>0.1</v>
      </c>
      <c r="I13" s="18">
        <f t="shared" si="0"/>
        <v>0.95</v>
      </c>
      <c r="J13" s="18">
        <f t="shared" si="0"/>
        <v>0.9</v>
      </c>
      <c r="K13" s="18">
        <f t="shared" si="0"/>
        <v>0</v>
      </c>
      <c r="L13" s="18"/>
      <c r="N13" t="b">
        <f t="shared" si="2"/>
        <v>1</v>
      </c>
    </row>
    <row r="14" spans="1:14">
      <c r="A14" s="16" t="s">
        <v>59</v>
      </c>
      <c r="B14" s="16" t="s">
        <v>58</v>
      </c>
      <c r="C14">
        <v>3</v>
      </c>
      <c r="D14">
        <v>9</v>
      </c>
      <c r="E14">
        <v>87</v>
      </c>
      <c r="F14">
        <v>0</v>
      </c>
      <c r="H14" s="18">
        <f t="shared" si="1"/>
        <v>0.3</v>
      </c>
      <c r="I14" s="18">
        <f t="shared" si="0"/>
        <v>0.45</v>
      </c>
      <c r="J14" s="18">
        <f t="shared" si="0"/>
        <v>0.87</v>
      </c>
      <c r="K14" s="18">
        <f t="shared" si="0"/>
        <v>0</v>
      </c>
      <c r="L14" s="18"/>
      <c r="N14" t="b">
        <f t="shared" si="2"/>
        <v>1</v>
      </c>
    </row>
    <row r="15" spans="1:14">
      <c r="A15" s="16" t="s">
        <v>61</v>
      </c>
      <c r="B15" s="16" t="s">
        <v>60</v>
      </c>
      <c r="C15">
        <v>7</v>
      </c>
      <c r="D15">
        <v>8</v>
      </c>
      <c r="E15">
        <v>60</v>
      </c>
      <c r="F15">
        <v>0</v>
      </c>
      <c r="H15" s="18">
        <f t="shared" si="1"/>
        <v>0.7</v>
      </c>
      <c r="I15" s="18">
        <f t="shared" si="0"/>
        <v>0.4</v>
      </c>
      <c r="J15" s="18">
        <f t="shared" si="0"/>
        <v>0.6</v>
      </c>
      <c r="K15" s="18">
        <f t="shared" si="0"/>
        <v>0</v>
      </c>
      <c r="L15" s="18"/>
      <c r="N15" t="b">
        <f t="shared" si="2"/>
        <v>1</v>
      </c>
    </row>
    <row r="16" spans="1:14">
      <c r="A16" s="16" t="s">
        <v>63</v>
      </c>
      <c r="B16" s="16" t="s">
        <v>62</v>
      </c>
      <c r="C16">
        <v>8</v>
      </c>
      <c r="D16">
        <v>17</v>
      </c>
      <c r="E16">
        <v>65</v>
      </c>
      <c r="F16">
        <v>1</v>
      </c>
      <c r="H16" s="18">
        <f t="shared" si="1"/>
        <v>0.8</v>
      </c>
      <c r="I16" s="18">
        <f t="shared" si="0"/>
        <v>0.85</v>
      </c>
      <c r="J16" s="18">
        <f t="shared" si="0"/>
        <v>0.65</v>
      </c>
      <c r="K16" s="18">
        <f t="shared" si="0"/>
        <v>1</v>
      </c>
      <c r="L16" s="18"/>
      <c r="N16" t="b">
        <f t="shared" si="2"/>
        <v>0</v>
      </c>
    </row>
    <row r="17" spans="1:14">
      <c r="A17" s="16" t="s">
        <v>65</v>
      </c>
      <c r="B17" s="16" t="s">
        <v>64</v>
      </c>
      <c r="C17">
        <v>9</v>
      </c>
      <c r="D17">
        <v>11</v>
      </c>
      <c r="E17">
        <v>55</v>
      </c>
      <c r="F17">
        <v>0</v>
      </c>
      <c r="H17" s="18">
        <f t="shared" si="1"/>
        <v>0.9</v>
      </c>
      <c r="I17" s="18">
        <f t="shared" si="0"/>
        <v>0.55000000000000004</v>
      </c>
      <c r="J17" s="18">
        <f t="shared" si="0"/>
        <v>0.55000000000000004</v>
      </c>
      <c r="K17" s="18">
        <f t="shared" si="0"/>
        <v>0</v>
      </c>
      <c r="L17" s="18"/>
      <c r="N17" t="b">
        <f t="shared" si="2"/>
        <v>1</v>
      </c>
    </row>
    <row r="18" spans="1:14">
      <c r="A18" s="16" t="s">
        <v>67</v>
      </c>
      <c r="B18" s="16" t="s">
        <v>66</v>
      </c>
      <c r="C18">
        <v>4</v>
      </c>
      <c r="D18">
        <v>19</v>
      </c>
      <c r="E18">
        <v>63</v>
      </c>
      <c r="F18">
        <v>1</v>
      </c>
      <c r="H18" s="18">
        <f t="shared" si="1"/>
        <v>0.4</v>
      </c>
      <c r="I18" s="18">
        <f t="shared" si="0"/>
        <v>0.95</v>
      </c>
      <c r="J18" s="18">
        <f t="shared" si="0"/>
        <v>0.63</v>
      </c>
      <c r="K18" s="18">
        <f t="shared" si="0"/>
        <v>1</v>
      </c>
      <c r="L18" s="18"/>
      <c r="N18" t="b">
        <f t="shared" si="2"/>
        <v>1</v>
      </c>
    </row>
    <row r="19" spans="1:14">
      <c r="A19" s="16" t="s">
        <v>69</v>
      </c>
      <c r="B19" s="16" t="s">
        <v>68</v>
      </c>
      <c r="C19">
        <v>8</v>
      </c>
      <c r="D19">
        <v>13</v>
      </c>
      <c r="E19">
        <v>96</v>
      </c>
      <c r="F19">
        <v>0</v>
      </c>
      <c r="H19" s="18">
        <f t="shared" si="1"/>
        <v>0.8</v>
      </c>
      <c r="I19" s="18">
        <f t="shared" si="0"/>
        <v>0.65</v>
      </c>
      <c r="J19" s="18">
        <f t="shared" si="0"/>
        <v>0.96</v>
      </c>
      <c r="K19" s="18">
        <f t="shared" si="0"/>
        <v>0</v>
      </c>
      <c r="L19" s="18"/>
      <c r="N19" t="b">
        <f t="shared" si="2"/>
        <v>1</v>
      </c>
    </row>
    <row r="20" spans="1:14">
      <c r="A20" s="16" t="s">
        <v>71</v>
      </c>
      <c r="B20" s="16" t="s">
        <v>70</v>
      </c>
      <c r="C20">
        <v>7</v>
      </c>
      <c r="D20">
        <v>12</v>
      </c>
      <c r="E20">
        <v>97</v>
      </c>
      <c r="F20">
        <v>1</v>
      </c>
      <c r="H20" s="18">
        <f t="shared" si="1"/>
        <v>0.7</v>
      </c>
      <c r="I20" s="18">
        <f t="shared" ref="I20:I23" si="3">D20/D$2</f>
        <v>0.6</v>
      </c>
      <c r="J20" s="18">
        <f t="shared" ref="J20:J23" si="4">E20/E$2</f>
        <v>0.97</v>
      </c>
      <c r="K20" s="18">
        <f t="shared" ref="K20:K23" si="5">F20/F$2</f>
        <v>1</v>
      </c>
      <c r="L20" s="18"/>
      <c r="N20" t="b">
        <f t="shared" si="2"/>
        <v>0</v>
      </c>
    </row>
    <row r="21" spans="1:14">
      <c r="A21" s="16" t="s">
        <v>73</v>
      </c>
      <c r="B21" s="16" t="s">
        <v>72</v>
      </c>
      <c r="C21">
        <v>7</v>
      </c>
      <c r="D21">
        <v>14</v>
      </c>
      <c r="E21">
        <v>91</v>
      </c>
      <c r="F21">
        <v>1</v>
      </c>
      <c r="H21" s="18">
        <f t="shared" si="1"/>
        <v>0.7</v>
      </c>
      <c r="I21" s="18">
        <f t="shared" si="3"/>
        <v>0.7</v>
      </c>
      <c r="J21" s="18">
        <f t="shared" si="4"/>
        <v>0.91</v>
      </c>
      <c r="K21" s="18">
        <f t="shared" si="5"/>
        <v>1</v>
      </c>
      <c r="L21" s="18"/>
      <c r="N21" t="b">
        <f t="shared" si="2"/>
        <v>0</v>
      </c>
    </row>
    <row r="22" spans="1:14">
      <c r="A22" s="16" t="s">
        <v>75</v>
      </c>
      <c r="B22" s="16" t="s">
        <v>74</v>
      </c>
      <c r="C22">
        <v>1</v>
      </c>
      <c r="D22">
        <v>11</v>
      </c>
      <c r="E22">
        <v>84</v>
      </c>
      <c r="F22">
        <v>1</v>
      </c>
      <c r="H22" s="18">
        <f t="shared" si="1"/>
        <v>0.1</v>
      </c>
      <c r="I22" s="18">
        <f t="shared" si="3"/>
        <v>0.55000000000000004</v>
      </c>
      <c r="J22" s="18">
        <f t="shared" si="4"/>
        <v>0.84</v>
      </c>
      <c r="K22" s="18">
        <f t="shared" si="5"/>
        <v>1</v>
      </c>
      <c r="L22" s="18"/>
      <c r="N22" t="b">
        <f t="shared" si="2"/>
        <v>1</v>
      </c>
    </row>
    <row r="23" spans="1:14">
      <c r="A23" s="16" t="s">
        <v>77</v>
      </c>
      <c r="B23" s="16" t="s">
        <v>76</v>
      </c>
      <c r="C23">
        <v>3</v>
      </c>
      <c r="D23">
        <v>10</v>
      </c>
      <c r="E23">
        <v>80</v>
      </c>
      <c r="F23">
        <v>1</v>
      </c>
      <c r="H23" s="18">
        <f t="shared" si="1"/>
        <v>0.3</v>
      </c>
      <c r="I23" s="18">
        <f t="shared" si="3"/>
        <v>0.5</v>
      </c>
      <c r="J23" s="18">
        <f t="shared" si="4"/>
        <v>0.8</v>
      </c>
      <c r="K23" s="18">
        <f t="shared" si="5"/>
        <v>1</v>
      </c>
      <c r="L23" s="18"/>
      <c r="N23" t="b">
        <f>OR(H23&lt;0.5,I23&lt;0.5,J23&lt;0.5,K23&lt;0.5)</f>
        <v>1</v>
      </c>
    </row>
    <row r="25" spans="1:14">
      <c r="A25" s="16" t="s">
        <v>30</v>
      </c>
      <c r="C25">
        <f>MAX(C4:C23)</f>
        <v>9</v>
      </c>
      <c r="D25">
        <f t="shared" ref="D25:F25" si="6">MAX(D4:D23)</f>
        <v>19</v>
      </c>
      <c r="E25">
        <f t="shared" si="6"/>
        <v>100</v>
      </c>
      <c r="F25">
        <f t="shared" si="6"/>
        <v>1</v>
      </c>
      <c r="H25" s="18">
        <f>MAX(H4:H23)</f>
        <v>0.9</v>
      </c>
      <c r="I25" s="18">
        <f t="shared" ref="I25:K25" si="7">MAX(I4:I23)</f>
        <v>0.95</v>
      </c>
      <c r="J25" s="18">
        <f t="shared" si="7"/>
        <v>1</v>
      </c>
      <c r="K25" s="18">
        <f t="shared" si="7"/>
        <v>1</v>
      </c>
    </row>
    <row r="26" spans="1:14">
      <c r="A26" s="16" t="s">
        <v>31</v>
      </c>
      <c r="C26">
        <f>MIN(C4:C23)</f>
        <v>1</v>
      </c>
      <c r="D26">
        <f t="shared" ref="D26:F26" si="8">MIN(D4:D23)</f>
        <v>8</v>
      </c>
      <c r="E26">
        <f t="shared" si="8"/>
        <v>52</v>
      </c>
      <c r="F26">
        <f t="shared" si="8"/>
        <v>0</v>
      </c>
      <c r="H26" s="18">
        <f>MIN(H4:H23)</f>
        <v>0.1</v>
      </c>
      <c r="I26" s="18">
        <f t="shared" ref="I26:K26" si="9">MIN(I4:I23)</f>
        <v>0.4</v>
      </c>
      <c r="J26" s="18">
        <f t="shared" si="9"/>
        <v>0.52</v>
      </c>
      <c r="K26" s="18">
        <f t="shared" si="9"/>
        <v>0</v>
      </c>
    </row>
    <row r="27" spans="1:14">
      <c r="A27" s="16" t="s">
        <v>86</v>
      </c>
      <c r="C27">
        <f>AVERAGE(C4:C23)</f>
        <v>5.05</v>
      </c>
      <c r="D27">
        <f t="shared" ref="D27:F27" si="10">AVERAGE(D4:D23)</f>
        <v>14.4</v>
      </c>
      <c r="E27">
        <f t="shared" si="10"/>
        <v>81.7</v>
      </c>
      <c r="F27">
        <f t="shared" si="10"/>
        <v>0.7</v>
      </c>
      <c r="H27" s="18">
        <f>AVERAGE(H4:H23)</f>
        <v>0.505</v>
      </c>
      <c r="I27" s="18">
        <f t="shared" ref="I27:K27" si="11">AVERAGE(I4:I23)</f>
        <v>0.72</v>
      </c>
      <c r="J27" s="18">
        <f t="shared" si="11"/>
        <v>0.81699999999999995</v>
      </c>
      <c r="K27" s="18">
        <f t="shared" si="11"/>
        <v>0.7</v>
      </c>
    </row>
  </sheetData>
  <conditionalFormatting sqref="C4:C23">
    <cfRule type="iconSet" priority="7">
      <iconSet>
        <cfvo type="percent" val="0"/>
        <cfvo type="percent" val="33"/>
        <cfvo type="percent" val="67"/>
      </iconSet>
    </cfRule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C4:D23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3">
    <cfRule type="iconSet" priority="6">
      <iconSet>
        <cfvo type="percent" val="0"/>
        <cfvo type="percent" val="33"/>
        <cfvo type="percent" val="67"/>
      </iconSet>
    </cfRule>
  </conditionalFormatting>
  <conditionalFormatting sqref="E4:E23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3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3">
    <cfRule type="cellIs" dxfId="2" priority="2" operator="lessThan">
      <formula>0.5</formula>
    </cfRule>
  </conditionalFormatting>
  <conditionalFormatting sqref="N4:N23">
    <cfRule type="cellIs" dxfId="1" priority="1" operator="equal">
      <formula>TRUE</formula>
    </cfRule>
  </conditionalFormatting>
  <pageMargins left="0.7" right="0.7" top="0.75" bottom="0.75" header="0.3" footer="0.3"/>
  <pageSetup paperSize="9" scale="5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3FB9-1390-4F48-981C-EDC5249B3C92}">
  <dimension ref="A1:L9"/>
  <sheetViews>
    <sheetView workbookViewId="0">
      <selection activeCell="I12" sqref="I12"/>
    </sheetView>
  </sheetViews>
  <sheetFormatPr defaultRowHeight="14.4"/>
  <cols>
    <col min="1" max="1" width="28.88671875" customWidth="1"/>
    <col min="4" max="7" width="12" customWidth="1"/>
    <col min="8" max="9" width="10" customWidth="1"/>
    <col min="10" max="11" width="11" customWidth="1"/>
  </cols>
  <sheetData>
    <row r="1" spans="1:12">
      <c r="A1" s="34" t="s">
        <v>87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>
      <c r="A2" s="15" t="s">
        <v>88</v>
      </c>
      <c r="B2" s="36" t="s">
        <v>94</v>
      </c>
      <c r="C2" s="36">
        <v>3</v>
      </c>
      <c r="D2" s="37" t="s">
        <v>95</v>
      </c>
      <c r="E2" s="37">
        <v>5</v>
      </c>
      <c r="F2" s="38" t="s">
        <v>96</v>
      </c>
      <c r="G2" s="38">
        <v>4</v>
      </c>
      <c r="H2" s="39" t="s">
        <v>97</v>
      </c>
      <c r="I2" s="39">
        <v>3</v>
      </c>
      <c r="J2" s="40" t="s">
        <v>98</v>
      </c>
      <c r="K2" s="40">
        <v>1</v>
      </c>
      <c r="L2" s="15" t="s">
        <v>33</v>
      </c>
    </row>
    <row r="3" spans="1:12">
      <c r="A3" s="41" t="s">
        <v>89</v>
      </c>
      <c r="B3" s="36">
        <v>5</v>
      </c>
      <c r="C3" s="36">
        <f>C$2*B3</f>
        <v>15</v>
      </c>
      <c r="D3" s="37">
        <v>5</v>
      </c>
      <c r="E3" s="37">
        <f>E$2*D3</f>
        <v>25</v>
      </c>
      <c r="F3" s="38">
        <v>5</v>
      </c>
      <c r="G3" s="38">
        <f>G$2*F3</f>
        <v>20</v>
      </c>
      <c r="H3" s="39">
        <v>3</v>
      </c>
      <c r="I3" s="39">
        <f>I$2*H3</f>
        <v>9</v>
      </c>
      <c r="J3" s="40">
        <v>3</v>
      </c>
      <c r="K3" s="40">
        <f>K$2*J3</f>
        <v>3</v>
      </c>
      <c r="L3" s="15">
        <f>SUM(C3,E3,G3,I3,K3)</f>
        <v>72</v>
      </c>
    </row>
    <row r="4" spans="1:12">
      <c r="A4" s="41" t="s">
        <v>90</v>
      </c>
      <c r="B4" s="36">
        <v>4</v>
      </c>
      <c r="C4" s="36">
        <f t="shared" ref="C4:E7" si="0">C$2*B4</f>
        <v>12</v>
      </c>
      <c r="D4" s="37">
        <v>4</v>
      </c>
      <c r="E4" s="37">
        <f t="shared" si="0"/>
        <v>20</v>
      </c>
      <c r="F4" s="38">
        <v>3</v>
      </c>
      <c r="G4" s="38">
        <f t="shared" ref="G4" si="1">G$2*F4</f>
        <v>12</v>
      </c>
      <c r="H4" s="39">
        <v>2</v>
      </c>
      <c r="I4" s="39">
        <f t="shared" ref="I4" si="2">I$2*H4</f>
        <v>6</v>
      </c>
      <c r="J4" s="40">
        <v>1</v>
      </c>
      <c r="K4" s="40">
        <f t="shared" ref="K4" si="3">K$2*J4</f>
        <v>1</v>
      </c>
      <c r="L4" s="15">
        <f t="shared" ref="L4:L7" si="4">SUM(C4,E4,G4,I4,K4)</f>
        <v>51</v>
      </c>
    </row>
    <row r="5" spans="1:12">
      <c r="A5" s="41" t="s">
        <v>91</v>
      </c>
      <c r="B5" s="36">
        <v>4</v>
      </c>
      <c r="C5" s="36">
        <f>C$2*B5</f>
        <v>12</v>
      </c>
      <c r="D5" s="37">
        <v>5</v>
      </c>
      <c r="E5" s="37">
        <f>E$2*D5</f>
        <v>25</v>
      </c>
      <c r="F5" s="38">
        <v>1</v>
      </c>
      <c r="G5" s="38">
        <f>G$2*F5</f>
        <v>4</v>
      </c>
      <c r="H5" s="39">
        <v>4</v>
      </c>
      <c r="I5" s="39">
        <f>I$2*H5</f>
        <v>12</v>
      </c>
      <c r="J5" s="40">
        <v>5</v>
      </c>
      <c r="K5" s="40">
        <f>K$2*J5</f>
        <v>5</v>
      </c>
      <c r="L5" s="15">
        <f t="shared" si="4"/>
        <v>58</v>
      </c>
    </row>
    <row r="6" spans="1:12">
      <c r="A6" s="41" t="s">
        <v>92</v>
      </c>
      <c r="B6" s="36">
        <v>3</v>
      </c>
      <c r="C6" s="36">
        <f t="shared" si="0"/>
        <v>9</v>
      </c>
      <c r="D6" s="37">
        <v>5</v>
      </c>
      <c r="E6" s="37">
        <f t="shared" si="0"/>
        <v>25</v>
      </c>
      <c r="F6" s="38">
        <v>4</v>
      </c>
      <c r="G6" s="38">
        <f t="shared" ref="G6" si="5">G$2*F6</f>
        <v>16</v>
      </c>
      <c r="H6" s="39">
        <v>4</v>
      </c>
      <c r="I6" s="39">
        <f t="shared" ref="I6" si="6">I$2*H6</f>
        <v>12</v>
      </c>
      <c r="J6" s="40">
        <v>3</v>
      </c>
      <c r="K6" s="40">
        <f t="shared" ref="K6" si="7">K$2*J6</f>
        <v>3</v>
      </c>
      <c r="L6" s="15">
        <f t="shared" si="4"/>
        <v>65</v>
      </c>
    </row>
    <row r="7" spans="1:12">
      <c r="A7" s="41" t="s">
        <v>93</v>
      </c>
      <c r="B7" s="36">
        <v>3</v>
      </c>
      <c r="C7" s="36">
        <f t="shared" si="0"/>
        <v>9</v>
      </c>
      <c r="D7" s="37">
        <v>5</v>
      </c>
      <c r="E7" s="37">
        <f t="shared" si="0"/>
        <v>25</v>
      </c>
      <c r="F7" s="38">
        <v>2</v>
      </c>
      <c r="G7" s="38">
        <f t="shared" ref="G7" si="8">G$2*F7</f>
        <v>8</v>
      </c>
      <c r="H7" s="39">
        <v>2</v>
      </c>
      <c r="I7" s="39">
        <f t="shared" ref="I7" si="9">I$2*H7</f>
        <v>6</v>
      </c>
      <c r="J7" s="40">
        <v>5</v>
      </c>
      <c r="K7" s="40">
        <f t="shared" ref="K7" si="10">K$2*J7</f>
        <v>5</v>
      </c>
      <c r="L7" s="15">
        <f t="shared" si="4"/>
        <v>53</v>
      </c>
    </row>
    <row r="9" spans="1:12">
      <c r="C9" t="s">
        <v>99</v>
      </c>
    </row>
  </sheetData>
  <mergeCells count="1">
    <mergeCell ref="A1:L1"/>
  </mergeCells>
  <conditionalFormatting sqref="L2:L7">
    <cfRule type="top10" dxfId="0" priority="1" percent="1" rank="1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4F542-0AF8-499C-97EC-F9924A00984A}">
  <dimension ref="A1:K176"/>
  <sheetViews>
    <sheetView workbookViewId="0">
      <selection activeCell="H3" sqref="H3"/>
    </sheetView>
  </sheetViews>
  <sheetFormatPr defaultColWidth="12.21875" defaultRowHeight="15.6"/>
  <cols>
    <col min="1" max="1" width="12.21875" style="20"/>
    <col min="2" max="2" width="16" style="20" customWidth="1"/>
    <col min="3" max="3" width="16.21875" style="20" customWidth="1"/>
    <col min="4" max="4" width="20.33203125" style="20" customWidth="1"/>
    <col min="5" max="7" width="12.21875" style="25"/>
    <col min="8" max="8" width="17.33203125" style="20" customWidth="1"/>
    <col min="9" max="9" width="12.21875" style="20"/>
    <col min="10" max="10" width="14.77734375" style="20" customWidth="1"/>
    <col min="11" max="11" width="17.77734375" style="20" customWidth="1"/>
    <col min="12" max="16384" width="12.21875" style="20"/>
  </cols>
  <sheetData>
    <row r="1" spans="1:11" s="23" customFormat="1" ht="51" customHeight="1">
      <c r="A1" s="23" t="s">
        <v>136</v>
      </c>
      <c r="B1" s="23" t="s">
        <v>135</v>
      </c>
      <c r="C1" s="23" t="s">
        <v>134</v>
      </c>
      <c r="D1" s="23" t="s">
        <v>133</v>
      </c>
      <c r="E1" s="24" t="s">
        <v>132</v>
      </c>
      <c r="F1" s="24" t="s">
        <v>131</v>
      </c>
      <c r="G1" s="24" t="s">
        <v>130</v>
      </c>
      <c r="H1" s="23" t="s">
        <v>129</v>
      </c>
      <c r="I1" s="23" t="s">
        <v>2</v>
      </c>
      <c r="J1" s="23" t="s">
        <v>1</v>
      </c>
      <c r="K1" s="23" t="s">
        <v>128</v>
      </c>
    </row>
    <row r="2" spans="1:11">
      <c r="A2" s="22" t="s">
        <v>127</v>
      </c>
      <c r="B2" s="21">
        <v>1001</v>
      </c>
      <c r="C2" s="20">
        <v>9822</v>
      </c>
      <c r="D2" s="20" t="s">
        <v>106</v>
      </c>
      <c r="E2" s="25">
        <v>58.3</v>
      </c>
      <c r="F2" s="25">
        <v>98.4</v>
      </c>
      <c r="G2" s="25">
        <f t="shared" ref="G2:G33" si="0">F2-E2</f>
        <v>40.100000000000009</v>
      </c>
      <c r="H2" s="20">
        <f t="shared" ref="H2:H33" si="1">IF(F2&gt;50,G2*0.2,G2*0.1)</f>
        <v>8.0200000000000014</v>
      </c>
      <c r="I2" s="20" t="s">
        <v>137</v>
      </c>
      <c r="J2" s="20" t="s">
        <v>138</v>
      </c>
      <c r="K2" s="20" t="s">
        <v>107</v>
      </c>
    </row>
    <row r="3" spans="1:11">
      <c r="A3" s="22" t="s">
        <v>127</v>
      </c>
      <c r="B3" s="21">
        <v>1002</v>
      </c>
      <c r="C3" s="20">
        <v>2877</v>
      </c>
      <c r="D3" s="20" t="s">
        <v>119</v>
      </c>
      <c r="E3" s="25">
        <v>11.4</v>
      </c>
      <c r="F3" s="25">
        <v>16.3</v>
      </c>
      <c r="G3" s="25">
        <f t="shared" si="0"/>
        <v>4.9000000000000004</v>
      </c>
      <c r="H3" s="20">
        <f>IF(F3&gt;50,G3*0.2,G3*0.1)</f>
        <v>0.49000000000000005</v>
      </c>
      <c r="I3" s="20" t="s">
        <v>139</v>
      </c>
      <c r="J3" s="20" t="s">
        <v>140</v>
      </c>
      <c r="K3" s="20" t="s">
        <v>103</v>
      </c>
    </row>
    <row r="4" spans="1:11">
      <c r="A4" s="22" t="s">
        <v>127</v>
      </c>
      <c r="B4" s="21">
        <v>1003</v>
      </c>
      <c r="C4" s="20">
        <v>2499</v>
      </c>
      <c r="D4" s="20" t="s">
        <v>118</v>
      </c>
      <c r="E4" s="25">
        <v>6.2</v>
      </c>
      <c r="F4" s="25">
        <v>9.1999999999999993</v>
      </c>
      <c r="G4" s="25">
        <f t="shared" si="0"/>
        <v>2.9999999999999991</v>
      </c>
      <c r="H4" s="20">
        <f t="shared" si="1"/>
        <v>0.29999999999999993</v>
      </c>
      <c r="I4" s="20" t="s">
        <v>141</v>
      </c>
      <c r="J4" s="20" t="s">
        <v>142</v>
      </c>
      <c r="K4" s="20" t="s">
        <v>110</v>
      </c>
    </row>
    <row r="5" spans="1:11">
      <c r="A5" s="22" t="s">
        <v>127</v>
      </c>
      <c r="B5" s="21">
        <v>1004</v>
      </c>
      <c r="C5" s="20">
        <v>8722</v>
      </c>
      <c r="D5" s="20" t="s">
        <v>105</v>
      </c>
      <c r="E5" s="25">
        <v>344</v>
      </c>
      <c r="F5" s="25">
        <v>502</v>
      </c>
      <c r="G5" s="25">
        <f t="shared" si="0"/>
        <v>158</v>
      </c>
      <c r="H5" s="20">
        <f t="shared" si="1"/>
        <v>31.6</v>
      </c>
      <c r="I5" s="20" t="s">
        <v>137</v>
      </c>
      <c r="J5" s="20" t="s">
        <v>138</v>
      </c>
      <c r="K5" s="20" t="s">
        <v>110</v>
      </c>
    </row>
    <row r="6" spans="1:11">
      <c r="A6" s="22" t="s">
        <v>127</v>
      </c>
      <c r="B6" s="21">
        <v>1005</v>
      </c>
      <c r="C6" s="20">
        <v>1109</v>
      </c>
      <c r="D6" s="20" t="s">
        <v>117</v>
      </c>
      <c r="E6" s="25">
        <v>3</v>
      </c>
      <c r="F6" s="25">
        <v>8</v>
      </c>
      <c r="G6" s="25">
        <f t="shared" si="0"/>
        <v>5</v>
      </c>
      <c r="H6" s="20">
        <f t="shared" si="1"/>
        <v>0.5</v>
      </c>
      <c r="I6" s="20" t="s">
        <v>141</v>
      </c>
      <c r="J6" s="20" t="s">
        <v>142</v>
      </c>
      <c r="K6" s="20" t="s">
        <v>110</v>
      </c>
    </row>
    <row r="7" spans="1:11">
      <c r="A7" s="22" t="s">
        <v>127</v>
      </c>
      <c r="B7" s="21">
        <v>1006</v>
      </c>
      <c r="C7" s="20">
        <v>9822</v>
      </c>
      <c r="D7" s="20" t="s">
        <v>106</v>
      </c>
      <c r="E7" s="25">
        <v>58.3</v>
      </c>
      <c r="F7" s="25">
        <v>98.4</v>
      </c>
      <c r="G7" s="25">
        <f t="shared" si="0"/>
        <v>40.100000000000009</v>
      </c>
      <c r="H7" s="20">
        <f t="shared" si="1"/>
        <v>8.0200000000000014</v>
      </c>
      <c r="I7" s="20" t="s">
        <v>141</v>
      </c>
      <c r="J7" s="20" t="s">
        <v>142</v>
      </c>
      <c r="K7" s="20" t="s">
        <v>110</v>
      </c>
    </row>
    <row r="8" spans="1:11">
      <c r="A8" s="22" t="s">
        <v>127</v>
      </c>
      <c r="B8" s="21">
        <v>1007</v>
      </c>
      <c r="C8" s="20">
        <v>1109</v>
      </c>
      <c r="D8" s="20" t="s">
        <v>117</v>
      </c>
      <c r="E8" s="25">
        <v>3</v>
      </c>
      <c r="F8" s="25">
        <v>8</v>
      </c>
      <c r="G8" s="25">
        <f t="shared" si="0"/>
        <v>5</v>
      </c>
      <c r="H8" s="20">
        <f t="shared" si="1"/>
        <v>0.5</v>
      </c>
      <c r="I8" s="20" t="s">
        <v>143</v>
      </c>
      <c r="J8" s="20" t="s">
        <v>144</v>
      </c>
      <c r="K8" s="20" t="s">
        <v>107</v>
      </c>
    </row>
    <row r="9" spans="1:11">
      <c r="A9" s="22" t="s">
        <v>127</v>
      </c>
      <c r="B9" s="21">
        <v>1008</v>
      </c>
      <c r="C9" s="20">
        <v>2877</v>
      </c>
      <c r="D9" s="20" t="s">
        <v>119</v>
      </c>
      <c r="E9" s="25">
        <v>11.4</v>
      </c>
      <c r="F9" s="25">
        <v>16.3</v>
      </c>
      <c r="G9" s="25">
        <f t="shared" si="0"/>
        <v>4.9000000000000004</v>
      </c>
      <c r="H9" s="20">
        <f t="shared" si="1"/>
        <v>0.49000000000000005</v>
      </c>
      <c r="I9" s="20" t="s">
        <v>141</v>
      </c>
      <c r="J9" s="20" t="s">
        <v>142</v>
      </c>
      <c r="K9" s="20" t="s">
        <v>107</v>
      </c>
    </row>
    <row r="10" spans="1:11">
      <c r="A10" s="22" t="s">
        <v>127</v>
      </c>
      <c r="B10" s="21">
        <v>1009</v>
      </c>
      <c r="C10" s="20">
        <v>1109</v>
      </c>
      <c r="D10" s="20" t="s">
        <v>117</v>
      </c>
      <c r="E10" s="25">
        <v>3</v>
      </c>
      <c r="F10" s="25">
        <v>8</v>
      </c>
      <c r="G10" s="25">
        <f t="shared" si="0"/>
        <v>5</v>
      </c>
      <c r="H10" s="20">
        <f t="shared" si="1"/>
        <v>0.5</v>
      </c>
      <c r="I10" s="20" t="s">
        <v>141</v>
      </c>
      <c r="J10" s="20" t="s">
        <v>142</v>
      </c>
      <c r="K10" s="20" t="s">
        <v>110</v>
      </c>
    </row>
    <row r="11" spans="1:11">
      <c r="A11" s="22" t="s">
        <v>127</v>
      </c>
      <c r="B11" s="21">
        <v>1010</v>
      </c>
      <c r="C11" s="20">
        <v>2877</v>
      </c>
      <c r="D11" s="20" t="s">
        <v>119</v>
      </c>
      <c r="E11" s="25">
        <v>11.4</v>
      </c>
      <c r="F11" s="25">
        <v>16.3</v>
      </c>
      <c r="G11" s="25">
        <f t="shared" si="0"/>
        <v>4.9000000000000004</v>
      </c>
      <c r="H11" s="20">
        <f t="shared" si="1"/>
        <v>0.49000000000000005</v>
      </c>
      <c r="I11" s="20" t="s">
        <v>139</v>
      </c>
      <c r="J11" s="20" t="s">
        <v>140</v>
      </c>
      <c r="K11" s="20" t="s">
        <v>124</v>
      </c>
    </row>
    <row r="12" spans="1:11">
      <c r="A12" s="22" t="s">
        <v>127</v>
      </c>
      <c r="B12" s="21">
        <v>1011</v>
      </c>
      <c r="C12" s="20">
        <v>2877</v>
      </c>
      <c r="D12" s="20" t="s">
        <v>119</v>
      </c>
      <c r="E12" s="25">
        <v>11.4</v>
      </c>
      <c r="F12" s="25">
        <v>16.3</v>
      </c>
      <c r="G12" s="25">
        <f t="shared" si="0"/>
        <v>4.9000000000000004</v>
      </c>
      <c r="H12" s="20">
        <f t="shared" si="1"/>
        <v>0.49000000000000005</v>
      </c>
      <c r="I12" s="20" t="s">
        <v>139</v>
      </c>
      <c r="J12" s="20" t="s">
        <v>140</v>
      </c>
      <c r="K12" s="20" t="s">
        <v>110</v>
      </c>
    </row>
    <row r="13" spans="1:11">
      <c r="A13" s="22" t="s">
        <v>127</v>
      </c>
      <c r="B13" s="21">
        <v>1012</v>
      </c>
      <c r="C13" s="20">
        <v>4421</v>
      </c>
      <c r="D13" s="20" t="s">
        <v>101</v>
      </c>
      <c r="E13" s="25">
        <v>45</v>
      </c>
      <c r="F13" s="25">
        <v>87</v>
      </c>
      <c r="G13" s="25">
        <f t="shared" si="0"/>
        <v>42</v>
      </c>
      <c r="H13" s="20">
        <f t="shared" si="1"/>
        <v>8.4</v>
      </c>
      <c r="I13" s="20" t="s">
        <v>141</v>
      </c>
      <c r="J13" s="20" t="s">
        <v>142</v>
      </c>
      <c r="K13" s="20" t="s">
        <v>107</v>
      </c>
    </row>
    <row r="14" spans="1:11">
      <c r="A14" s="22" t="s">
        <v>127</v>
      </c>
      <c r="B14" s="21">
        <v>1013</v>
      </c>
      <c r="C14" s="20">
        <v>9212</v>
      </c>
      <c r="D14" s="20" t="s">
        <v>111</v>
      </c>
      <c r="E14" s="25">
        <v>4</v>
      </c>
      <c r="F14" s="25">
        <v>7</v>
      </c>
      <c r="G14" s="25">
        <f t="shared" si="0"/>
        <v>3</v>
      </c>
      <c r="H14" s="20">
        <f t="shared" si="1"/>
        <v>0.30000000000000004</v>
      </c>
      <c r="I14" s="20" t="s">
        <v>143</v>
      </c>
      <c r="J14" s="20" t="s">
        <v>144</v>
      </c>
      <c r="K14" s="20" t="s">
        <v>124</v>
      </c>
    </row>
    <row r="15" spans="1:11">
      <c r="A15" s="22" t="s">
        <v>127</v>
      </c>
      <c r="B15" s="21">
        <v>1014</v>
      </c>
      <c r="C15" s="20">
        <v>8722</v>
      </c>
      <c r="D15" s="20" t="s">
        <v>105</v>
      </c>
      <c r="E15" s="25">
        <v>344</v>
      </c>
      <c r="F15" s="25">
        <v>502</v>
      </c>
      <c r="G15" s="25">
        <f t="shared" si="0"/>
        <v>158</v>
      </c>
      <c r="H15" s="20">
        <f t="shared" si="1"/>
        <v>31.6</v>
      </c>
      <c r="I15" s="20" t="s">
        <v>137</v>
      </c>
      <c r="J15" s="20" t="s">
        <v>138</v>
      </c>
      <c r="K15" s="20" t="s">
        <v>103</v>
      </c>
    </row>
    <row r="16" spans="1:11">
      <c r="A16" s="22" t="s">
        <v>127</v>
      </c>
      <c r="B16" s="21">
        <v>1015</v>
      </c>
      <c r="C16" s="20">
        <v>2877</v>
      </c>
      <c r="D16" s="20" t="s">
        <v>99</v>
      </c>
      <c r="E16" s="25">
        <v>11.4</v>
      </c>
      <c r="F16" s="25">
        <v>16.3</v>
      </c>
      <c r="G16" s="25">
        <f t="shared" si="0"/>
        <v>4.9000000000000004</v>
      </c>
      <c r="H16" s="20">
        <f t="shared" si="1"/>
        <v>0.49000000000000005</v>
      </c>
      <c r="I16" s="20" t="s">
        <v>143</v>
      </c>
      <c r="J16" s="20" t="s">
        <v>144</v>
      </c>
      <c r="K16" s="20" t="s">
        <v>110</v>
      </c>
    </row>
    <row r="17" spans="1:11">
      <c r="A17" s="22" t="s">
        <v>127</v>
      </c>
      <c r="B17" s="21">
        <v>1016</v>
      </c>
      <c r="C17" s="20">
        <v>2499</v>
      </c>
      <c r="D17" s="20" t="s">
        <v>118</v>
      </c>
      <c r="E17" s="25">
        <v>6.2</v>
      </c>
      <c r="F17" s="25">
        <v>9.1999999999999993</v>
      </c>
      <c r="G17" s="25">
        <f t="shared" si="0"/>
        <v>2.9999999999999991</v>
      </c>
      <c r="H17" s="20">
        <f t="shared" si="1"/>
        <v>0.29999999999999993</v>
      </c>
      <c r="I17" s="20" t="s">
        <v>141</v>
      </c>
      <c r="J17" s="20" t="s">
        <v>142</v>
      </c>
      <c r="K17" s="20" t="s">
        <v>103</v>
      </c>
    </row>
    <row r="18" spans="1:11">
      <c r="A18" s="22" t="s">
        <v>126</v>
      </c>
      <c r="B18" s="21">
        <v>1017</v>
      </c>
      <c r="C18" s="20">
        <v>2242</v>
      </c>
      <c r="D18" s="20" t="s">
        <v>108</v>
      </c>
      <c r="E18" s="25">
        <v>60</v>
      </c>
      <c r="F18" s="25">
        <v>124</v>
      </c>
      <c r="G18" s="25">
        <f t="shared" si="0"/>
        <v>64</v>
      </c>
      <c r="H18" s="20">
        <f t="shared" si="1"/>
        <v>12.8</v>
      </c>
      <c r="I18" s="20" t="s">
        <v>139</v>
      </c>
      <c r="J18" s="20" t="s">
        <v>140</v>
      </c>
      <c r="K18" s="20" t="s">
        <v>107</v>
      </c>
    </row>
    <row r="19" spans="1:11">
      <c r="A19" s="22" t="s">
        <v>126</v>
      </c>
      <c r="B19" s="21">
        <v>1018</v>
      </c>
      <c r="C19" s="20">
        <v>1109</v>
      </c>
      <c r="D19" s="20" t="s">
        <v>117</v>
      </c>
      <c r="E19" s="25">
        <v>3</v>
      </c>
      <c r="F19" s="25">
        <v>8</v>
      </c>
      <c r="G19" s="25">
        <f t="shared" si="0"/>
        <v>5</v>
      </c>
      <c r="H19" s="20">
        <f t="shared" si="1"/>
        <v>0.5</v>
      </c>
      <c r="I19" s="20" t="s">
        <v>141</v>
      </c>
      <c r="J19" s="20" t="s">
        <v>142</v>
      </c>
      <c r="K19" s="20" t="s">
        <v>103</v>
      </c>
    </row>
    <row r="20" spans="1:11">
      <c r="A20" s="22" t="s">
        <v>126</v>
      </c>
      <c r="B20" s="21">
        <v>1019</v>
      </c>
      <c r="C20" s="20">
        <v>2499</v>
      </c>
      <c r="D20" s="20" t="s">
        <v>118</v>
      </c>
      <c r="E20" s="25">
        <v>6.2</v>
      </c>
      <c r="F20" s="25">
        <v>9.1999999999999993</v>
      </c>
      <c r="G20" s="25">
        <f t="shared" si="0"/>
        <v>2.9999999999999991</v>
      </c>
      <c r="H20" s="20">
        <f t="shared" si="1"/>
        <v>0.29999999999999993</v>
      </c>
      <c r="I20" s="20" t="s">
        <v>141</v>
      </c>
      <c r="J20" s="20" t="s">
        <v>142</v>
      </c>
      <c r="K20" s="20" t="s">
        <v>124</v>
      </c>
    </row>
    <row r="21" spans="1:11">
      <c r="A21" s="22" t="s">
        <v>126</v>
      </c>
      <c r="B21" s="21">
        <v>1020</v>
      </c>
      <c r="C21" s="20">
        <v>2499</v>
      </c>
      <c r="D21" s="20" t="s">
        <v>118</v>
      </c>
      <c r="E21" s="25">
        <v>6.2</v>
      </c>
      <c r="F21" s="25">
        <v>9.1999999999999993</v>
      </c>
      <c r="G21" s="25">
        <f t="shared" si="0"/>
        <v>2.9999999999999991</v>
      </c>
      <c r="H21" s="20">
        <f t="shared" si="1"/>
        <v>0.29999999999999993</v>
      </c>
      <c r="I21" s="20" t="s">
        <v>141</v>
      </c>
      <c r="J21" s="20" t="s">
        <v>142</v>
      </c>
      <c r="K21" s="20" t="s">
        <v>100</v>
      </c>
    </row>
    <row r="22" spans="1:11">
      <c r="A22" s="22" t="s">
        <v>126</v>
      </c>
      <c r="B22" s="21">
        <v>1021</v>
      </c>
      <c r="C22" s="20">
        <v>1109</v>
      </c>
      <c r="D22" s="20" t="s">
        <v>117</v>
      </c>
      <c r="E22" s="25">
        <v>3</v>
      </c>
      <c r="F22" s="25">
        <v>8</v>
      </c>
      <c r="G22" s="25">
        <f t="shared" si="0"/>
        <v>5</v>
      </c>
      <c r="H22" s="20">
        <f t="shared" si="1"/>
        <v>0.5</v>
      </c>
      <c r="I22" s="20" t="s">
        <v>139</v>
      </c>
      <c r="J22" s="20" t="s">
        <v>140</v>
      </c>
      <c r="K22" s="20" t="s">
        <v>124</v>
      </c>
    </row>
    <row r="23" spans="1:11">
      <c r="A23" s="22" t="s">
        <v>126</v>
      </c>
      <c r="B23" s="21">
        <v>1022</v>
      </c>
      <c r="C23" s="20">
        <v>2877</v>
      </c>
      <c r="D23" s="20" t="s">
        <v>119</v>
      </c>
      <c r="E23" s="25">
        <v>11.4</v>
      </c>
      <c r="F23" s="25">
        <v>16.3</v>
      </c>
      <c r="G23" s="25">
        <f t="shared" si="0"/>
        <v>4.9000000000000004</v>
      </c>
      <c r="H23" s="20">
        <f t="shared" si="1"/>
        <v>0.49000000000000005</v>
      </c>
      <c r="I23" s="20" t="s">
        <v>141</v>
      </c>
      <c r="J23" s="20" t="s">
        <v>142</v>
      </c>
      <c r="K23" s="20" t="s">
        <v>104</v>
      </c>
    </row>
    <row r="24" spans="1:11">
      <c r="A24" s="22" t="s">
        <v>126</v>
      </c>
      <c r="B24" s="21">
        <v>1023</v>
      </c>
      <c r="C24" s="20">
        <v>1109</v>
      </c>
      <c r="D24" s="20" t="s">
        <v>117</v>
      </c>
      <c r="E24" s="25">
        <v>3</v>
      </c>
      <c r="F24" s="25">
        <v>8</v>
      </c>
      <c r="G24" s="25">
        <f t="shared" si="0"/>
        <v>5</v>
      </c>
      <c r="H24" s="20">
        <f t="shared" si="1"/>
        <v>0.5</v>
      </c>
      <c r="I24" s="20" t="s">
        <v>143</v>
      </c>
      <c r="J24" s="20" t="s">
        <v>144</v>
      </c>
      <c r="K24" s="20" t="s">
        <v>107</v>
      </c>
    </row>
    <row r="25" spans="1:11">
      <c r="A25" s="22" t="s">
        <v>126</v>
      </c>
      <c r="B25" s="21">
        <v>1024</v>
      </c>
      <c r="C25" s="20">
        <v>9212</v>
      </c>
      <c r="D25" s="20" t="s">
        <v>111</v>
      </c>
      <c r="E25" s="25">
        <v>4</v>
      </c>
      <c r="F25" s="25">
        <v>7</v>
      </c>
      <c r="G25" s="25">
        <f t="shared" si="0"/>
        <v>3</v>
      </c>
      <c r="H25" s="20">
        <f t="shared" si="1"/>
        <v>0.30000000000000004</v>
      </c>
      <c r="I25" s="20" t="s">
        <v>139</v>
      </c>
      <c r="J25" s="20" t="s">
        <v>140</v>
      </c>
      <c r="K25" s="20" t="s">
        <v>104</v>
      </c>
    </row>
    <row r="26" spans="1:11">
      <c r="A26" s="22" t="s">
        <v>126</v>
      </c>
      <c r="B26" s="21">
        <v>1025</v>
      </c>
      <c r="C26" s="20">
        <v>2877</v>
      </c>
      <c r="D26" s="20" t="s">
        <v>119</v>
      </c>
      <c r="E26" s="25">
        <v>11.4</v>
      </c>
      <c r="F26" s="25">
        <v>16.3</v>
      </c>
      <c r="G26" s="25">
        <f t="shared" si="0"/>
        <v>4.9000000000000004</v>
      </c>
      <c r="H26" s="20">
        <f t="shared" si="1"/>
        <v>0.49000000000000005</v>
      </c>
      <c r="I26" s="20" t="s">
        <v>143</v>
      </c>
      <c r="J26" s="20" t="s">
        <v>144</v>
      </c>
      <c r="K26" s="20" t="s">
        <v>100</v>
      </c>
    </row>
    <row r="27" spans="1:11">
      <c r="A27" s="22" t="s">
        <v>126</v>
      </c>
      <c r="B27" s="21">
        <v>1026</v>
      </c>
      <c r="C27" s="20">
        <v>6119</v>
      </c>
      <c r="D27" s="20" t="s">
        <v>120</v>
      </c>
      <c r="E27" s="25">
        <v>9</v>
      </c>
      <c r="F27" s="25">
        <v>14</v>
      </c>
      <c r="G27" s="25">
        <f t="shared" si="0"/>
        <v>5</v>
      </c>
      <c r="H27" s="20">
        <f t="shared" si="1"/>
        <v>0.5</v>
      </c>
      <c r="I27" s="20" t="s">
        <v>143</v>
      </c>
      <c r="J27" s="20" t="s">
        <v>144</v>
      </c>
      <c r="K27" s="20" t="s">
        <v>107</v>
      </c>
    </row>
    <row r="28" spans="1:11">
      <c r="A28" s="22" t="s">
        <v>126</v>
      </c>
      <c r="B28" s="21">
        <v>1027</v>
      </c>
      <c r="C28" s="20">
        <v>6119</v>
      </c>
      <c r="D28" s="20" t="s">
        <v>120</v>
      </c>
      <c r="E28" s="25">
        <v>9</v>
      </c>
      <c r="F28" s="25">
        <v>14</v>
      </c>
      <c r="G28" s="25">
        <f t="shared" si="0"/>
        <v>5</v>
      </c>
      <c r="H28" s="20">
        <f t="shared" si="1"/>
        <v>0.5</v>
      </c>
      <c r="I28" s="20" t="s">
        <v>137</v>
      </c>
      <c r="J28" s="20" t="s">
        <v>138</v>
      </c>
      <c r="K28" s="20" t="s">
        <v>100</v>
      </c>
    </row>
    <row r="29" spans="1:11">
      <c r="A29" s="22" t="s">
        <v>126</v>
      </c>
      <c r="B29" s="21">
        <v>1028</v>
      </c>
      <c r="C29" s="20">
        <v>8722</v>
      </c>
      <c r="D29" s="20" t="s">
        <v>105</v>
      </c>
      <c r="E29" s="25">
        <v>344</v>
      </c>
      <c r="F29" s="25">
        <v>502</v>
      </c>
      <c r="G29" s="25">
        <f t="shared" si="0"/>
        <v>158</v>
      </c>
      <c r="H29" s="20">
        <f t="shared" si="1"/>
        <v>31.6</v>
      </c>
      <c r="I29" s="20" t="s">
        <v>137</v>
      </c>
      <c r="J29" s="20" t="s">
        <v>138</v>
      </c>
      <c r="K29" s="20" t="s">
        <v>110</v>
      </c>
    </row>
    <row r="30" spans="1:11">
      <c r="A30" s="22" t="s">
        <v>126</v>
      </c>
      <c r="B30" s="21">
        <v>1029</v>
      </c>
      <c r="C30" s="20">
        <v>2499</v>
      </c>
      <c r="D30" s="20" t="s">
        <v>118</v>
      </c>
      <c r="E30" s="25">
        <v>6.2</v>
      </c>
      <c r="F30" s="25">
        <v>9.1999999999999993</v>
      </c>
      <c r="G30" s="25">
        <f t="shared" si="0"/>
        <v>2.9999999999999991</v>
      </c>
      <c r="H30" s="20">
        <f t="shared" si="1"/>
        <v>0.29999999999999993</v>
      </c>
      <c r="I30" s="20" t="s">
        <v>139</v>
      </c>
      <c r="J30" s="20" t="s">
        <v>140</v>
      </c>
      <c r="K30" s="20" t="s">
        <v>110</v>
      </c>
    </row>
    <row r="31" spans="1:11">
      <c r="A31" s="22" t="s">
        <v>126</v>
      </c>
      <c r="B31" s="21">
        <v>1030</v>
      </c>
      <c r="C31" s="20">
        <v>4421</v>
      </c>
      <c r="D31" s="20" t="s">
        <v>101</v>
      </c>
      <c r="E31" s="25">
        <v>45</v>
      </c>
      <c r="F31" s="25">
        <v>87</v>
      </c>
      <c r="G31" s="25">
        <f t="shared" si="0"/>
        <v>42</v>
      </c>
      <c r="H31" s="20">
        <f t="shared" si="1"/>
        <v>8.4</v>
      </c>
      <c r="I31" s="20" t="s">
        <v>139</v>
      </c>
      <c r="J31" s="20" t="s">
        <v>140</v>
      </c>
      <c r="K31" s="20" t="s">
        <v>100</v>
      </c>
    </row>
    <row r="32" spans="1:11">
      <c r="A32" s="22" t="s">
        <v>126</v>
      </c>
      <c r="B32" s="21">
        <v>1031</v>
      </c>
      <c r="C32" s="20">
        <v>1109</v>
      </c>
      <c r="D32" s="20" t="s">
        <v>117</v>
      </c>
      <c r="E32" s="25">
        <v>3</v>
      </c>
      <c r="F32" s="25">
        <v>8</v>
      </c>
      <c r="G32" s="25">
        <f t="shared" si="0"/>
        <v>5</v>
      </c>
      <c r="H32" s="20">
        <f t="shared" si="1"/>
        <v>0.5</v>
      </c>
      <c r="I32" s="20" t="s">
        <v>139</v>
      </c>
      <c r="J32" s="20" t="s">
        <v>140</v>
      </c>
      <c r="K32" s="20" t="s">
        <v>103</v>
      </c>
    </row>
    <row r="33" spans="1:11">
      <c r="A33" s="22" t="s">
        <v>126</v>
      </c>
      <c r="B33" s="21">
        <v>1032</v>
      </c>
      <c r="C33" s="20">
        <v>2877</v>
      </c>
      <c r="D33" s="20" t="s">
        <v>119</v>
      </c>
      <c r="E33" s="25">
        <v>11.4</v>
      </c>
      <c r="F33" s="25">
        <v>16.3</v>
      </c>
      <c r="G33" s="25">
        <f t="shared" si="0"/>
        <v>4.9000000000000004</v>
      </c>
      <c r="H33" s="20">
        <f t="shared" si="1"/>
        <v>0.49000000000000005</v>
      </c>
      <c r="I33" s="20" t="s">
        <v>137</v>
      </c>
      <c r="J33" s="20" t="s">
        <v>138</v>
      </c>
      <c r="K33" s="20" t="s">
        <v>110</v>
      </c>
    </row>
    <row r="34" spans="1:11">
      <c r="A34" s="22" t="s">
        <v>126</v>
      </c>
      <c r="B34" s="21">
        <v>1033</v>
      </c>
      <c r="C34" s="20">
        <v>9822</v>
      </c>
      <c r="D34" s="20" t="s">
        <v>106</v>
      </c>
      <c r="E34" s="25">
        <v>58.3</v>
      </c>
      <c r="F34" s="25">
        <v>98.4</v>
      </c>
      <c r="G34" s="25">
        <f t="shared" ref="G34:G65" si="2">F34-E34</f>
        <v>40.100000000000009</v>
      </c>
      <c r="H34" s="20">
        <f t="shared" ref="H34:H65" si="3">IF(F34&gt;50,G34*0.2,G34*0.1)</f>
        <v>8.0200000000000014</v>
      </c>
      <c r="I34" s="20" t="s">
        <v>139</v>
      </c>
      <c r="J34" s="20" t="s">
        <v>140</v>
      </c>
      <c r="K34" s="20" t="s">
        <v>103</v>
      </c>
    </row>
    <row r="35" spans="1:11">
      <c r="A35" s="22" t="s">
        <v>126</v>
      </c>
      <c r="B35" s="21">
        <v>1034</v>
      </c>
      <c r="C35" s="20">
        <v>2877</v>
      </c>
      <c r="D35" s="20" t="s">
        <v>119</v>
      </c>
      <c r="E35" s="25">
        <v>11.4</v>
      </c>
      <c r="F35" s="25">
        <v>16.3</v>
      </c>
      <c r="G35" s="25">
        <f t="shared" si="2"/>
        <v>4.9000000000000004</v>
      </c>
      <c r="H35" s="20">
        <f t="shared" si="3"/>
        <v>0.49000000000000005</v>
      </c>
      <c r="I35" s="20" t="s">
        <v>139</v>
      </c>
      <c r="J35" s="20" t="s">
        <v>140</v>
      </c>
      <c r="K35" s="20" t="s">
        <v>124</v>
      </c>
    </row>
    <row r="36" spans="1:11">
      <c r="A36" s="22" t="s">
        <v>125</v>
      </c>
      <c r="B36" s="21">
        <v>1035</v>
      </c>
      <c r="C36" s="20">
        <v>2499</v>
      </c>
      <c r="D36" s="20" t="s">
        <v>118</v>
      </c>
      <c r="E36" s="25">
        <v>6.2</v>
      </c>
      <c r="F36" s="25">
        <v>9.1999999999999993</v>
      </c>
      <c r="G36" s="25">
        <f t="shared" si="2"/>
        <v>2.9999999999999991</v>
      </c>
      <c r="H36" s="20">
        <f t="shared" si="3"/>
        <v>0.29999999999999993</v>
      </c>
      <c r="I36" s="20" t="s">
        <v>143</v>
      </c>
      <c r="J36" s="20" t="s">
        <v>144</v>
      </c>
      <c r="K36" s="20" t="s">
        <v>103</v>
      </c>
    </row>
    <row r="37" spans="1:11">
      <c r="A37" s="22" t="s">
        <v>125</v>
      </c>
      <c r="B37" s="21">
        <v>1036</v>
      </c>
      <c r="C37" s="20">
        <v>2499</v>
      </c>
      <c r="D37" s="20" t="s">
        <v>118</v>
      </c>
      <c r="E37" s="25">
        <v>6.2</v>
      </c>
      <c r="F37" s="25">
        <v>9.1999999999999993</v>
      </c>
      <c r="G37" s="25">
        <f t="shared" si="2"/>
        <v>2.9999999999999991</v>
      </c>
      <c r="H37" s="20">
        <f t="shared" si="3"/>
        <v>0.29999999999999993</v>
      </c>
      <c r="I37" s="20" t="s">
        <v>139</v>
      </c>
      <c r="J37" s="20" t="s">
        <v>140</v>
      </c>
      <c r="K37" s="20" t="s">
        <v>100</v>
      </c>
    </row>
    <row r="38" spans="1:11">
      <c r="A38" s="22" t="s">
        <v>125</v>
      </c>
      <c r="B38" s="21">
        <v>1037</v>
      </c>
      <c r="C38" s="20">
        <v>6622</v>
      </c>
      <c r="D38" s="20" t="s">
        <v>112</v>
      </c>
      <c r="E38" s="25">
        <v>42</v>
      </c>
      <c r="F38" s="25">
        <v>77</v>
      </c>
      <c r="G38" s="25">
        <f t="shared" si="2"/>
        <v>35</v>
      </c>
      <c r="H38" s="20">
        <f t="shared" si="3"/>
        <v>7</v>
      </c>
      <c r="I38" s="20" t="s">
        <v>139</v>
      </c>
      <c r="J38" s="20" t="s">
        <v>140</v>
      </c>
      <c r="K38" s="20" t="s">
        <v>100</v>
      </c>
    </row>
    <row r="39" spans="1:11">
      <c r="A39" s="22" t="s">
        <v>125</v>
      </c>
      <c r="B39" s="21">
        <v>1038</v>
      </c>
      <c r="C39" s="20">
        <v>2499</v>
      </c>
      <c r="D39" s="20" t="s">
        <v>118</v>
      </c>
      <c r="E39" s="25">
        <v>6.2</v>
      </c>
      <c r="F39" s="25">
        <v>9.1999999999999993</v>
      </c>
      <c r="G39" s="25">
        <f t="shared" si="2"/>
        <v>2.9999999999999991</v>
      </c>
      <c r="H39" s="20">
        <f t="shared" si="3"/>
        <v>0.29999999999999993</v>
      </c>
      <c r="I39" s="20" t="s">
        <v>139</v>
      </c>
      <c r="J39" s="20" t="s">
        <v>140</v>
      </c>
      <c r="K39" s="20" t="s">
        <v>100</v>
      </c>
    </row>
    <row r="40" spans="1:11">
      <c r="A40" s="22" t="s">
        <v>125</v>
      </c>
      <c r="B40" s="21">
        <v>1039</v>
      </c>
      <c r="C40" s="20">
        <v>2877</v>
      </c>
      <c r="D40" s="20" t="s">
        <v>119</v>
      </c>
      <c r="E40" s="25">
        <v>11.4</v>
      </c>
      <c r="F40" s="25">
        <v>16.3</v>
      </c>
      <c r="G40" s="25">
        <f t="shared" si="2"/>
        <v>4.9000000000000004</v>
      </c>
      <c r="H40" s="20">
        <f t="shared" si="3"/>
        <v>0.49000000000000005</v>
      </c>
      <c r="I40" s="20" t="s">
        <v>139</v>
      </c>
      <c r="J40" s="20" t="s">
        <v>140</v>
      </c>
      <c r="K40" s="20" t="s">
        <v>103</v>
      </c>
    </row>
    <row r="41" spans="1:11">
      <c r="A41" s="22" t="s">
        <v>125</v>
      </c>
      <c r="B41" s="21">
        <v>1040</v>
      </c>
      <c r="C41" s="20">
        <v>1109</v>
      </c>
      <c r="D41" s="20" t="s">
        <v>117</v>
      </c>
      <c r="E41" s="25">
        <v>3</v>
      </c>
      <c r="F41" s="25">
        <v>8</v>
      </c>
      <c r="G41" s="25">
        <f t="shared" si="2"/>
        <v>5</v>
      </c>
      <c r="H41" s="20">
        <f t="shared" si="3"/>
        <v>0.5</v>
      </c>
      <c r="I41" s="20" t="s">
        <v>139</v>
      </c>
      <c r="J41" s="20" t="s">
        <v>140</v>
      </c>
      <c r="K41" s="20" t="s">
        <v>110</v>
      </c>
    </row>
    <row r="42" spans="1:11">
      <c r="A42" s="22" t="s">
        <v>125</v>
      </c>
      <c r="B42" s="21">
        <v>1041</v>
      </c>
      <c r="C42" s="20">
        <v>2499</v>
      </c>
      <c r="D42" s="20" t="s">
        <v>118</v>
      </c>
      <c r="E42" s="25">
        <v>6.2</v>
      </c>
      <c r="F42" s="25">
        <v>9.1999999999999993</v>
      </c>
      <c r="G42" s="25">
        <f t="shared" si="2"/>
        <v>2.9999999999999991</v>
      </c>
      <c r="H42" s="20">
        <f t="shared" si="3"/>
        <v>0.29999999999999993</v>
      </c>
      <c r="I42" s="20" t="s">
        <v>137</v>
      </c>
      <c r="J42" s="20" t="s">
        <v>138</v>
      </c>
      <c r="K42" s="20" t="s">
        <v>107</v>
      </c>
    </row>
    <row r="43" spans="1:11">
      <c r="A43" s="22" t="s">
        <v>125</v>
      </c>
      <c r="B43" s="21">
        <v>1042</v>
      </c>
      <c r="C43" s="20">
        <v>8722</v>
      </c>
      <c r="D43" s="20" t="s">
        <v>105</v>
      </c>
      <c r="E43" s="25">
        <v>344</v>
      </c>
      <c r="F43" s="25">
        <v>502</v>
      </c>
      <c r="G43" s="25">
        <f t="shared" si="2"/>
        <v>158</v>
      </c>
      <c r="H43" s="20">
        <f t="shared" si="3"/>
        <v>31.6</v>
      </c>
      <c r="I43" s="20" t="s">
        <v>141</v>
      </c>
      <c r="J43" s="20" t="s">
        <v>142</v>
      </c>
      <c r="K43" s="20" t="s">
        <v>107</v>
      </c>
    </row>
    <row r="44" spans="1:11">
      <c r="A44" s="22" t="s">
        <v>125</v>
      </c>
      <c r="B44" s="21">
        <v>1043</v>
      </c>
      <c r="C44" s="20">
        <v>2242</v>
      </c>
      <c r="D44" s="20" t="s">
        <v>108</v>
      </c>
      <c r="E44" s="25">
        <v>60</v>
      </c>
      <c r="F44" s="25">
        <v>124</v>
      </c>
      <c r="G44" s="25">
        <f t="shared" si="2"/>
        <v>64</v>
      </c>
      <c r="H44" s="20">
        <f t="shared" si="3"/>
        <v>12.8</v>
      </c>
      <c r="I44" s="20" t="s">
        <v>141</v>
      </c>
      <c r="J44" s="20" t="s">
        <v>142</v>
      </c>
      <c r="K44" s="20" t="s">
        <v>103</v>
      </c>
    </row>
    <row r="45" spans="1:11">
      <c r="A45" s="22" t="s">
        <v>125</v>
      </c>
      <c r="B45" s="21">
        <v>1044</v>
      </c>
      <c r="C45" s="20">
        <v>2877</v>
      </c>
      <c r="D45" s="20" t="s">
        <v>119</v>
      </c>
      <c r="E45" s="25">
        <v>11.4</v>
      </c>
      <c r="F45" s="25">
        <v>16.3</v>
      </c>
      <c r="G45" s="25">
        <f t="shared" si="2"/>
        <v>4.9000000000000004</v>
      </c>
      <c r="H45" s="20">
        <f t="shared" si="3"/>
        <v>0.49000000000000005</v>
      </c>
      <c r="I45" s="20" t="s">
        <v>141</v>
      </c>
      <c r="J45" s="20" t="s">
        <v>142</v>
      </c>
      <c r="K45" s="20" t="s">
        <v>103</v>
      </c>
    </row>
    <row r="46" spans="1:11">
      <c r="A46" s="22" t="s">
        <v>125</v>
      </c>
      <c r="B46" s="21">
        <v>1045</v>
      </c>
      <c r="C46" s="20">
        <v>8722</v>
      </c>
      <c r="D46" s="20" t="s">
        <v>105</v>
      </c>
      <c r="E46" s="25">
        <v>344</v>
      </c>
      <c r="F46" s="25">
        <v>502</v>
      </c>
      <c r="G46" s="25">
        <f t="shared" si="2"/>
        <v>158</v>
      </c>
      <c r="H46" s="20">
        <f t="shared" si="3"/>
        <v>31.6</v>
      </c>
      <c r="I46" s="20" t="s">
        <v>143</v>
      </c>
      <c r="J46" s="20" t="s">
        <v>144</v>
      </c>
      <c r="K46" s="20" t="s">
        <v>110</v>
      </c>
    </row>
    <row r="47" spans="1:11">
      <c r="A47" s="22" t="s">
        <v>125</v>
      </c>
      <c r="B47" s="21">
        <v>1046</v>
      </c>
      <c r="C47" s="20">
        <v>6119</v>
      </c>
      <c r="D47" s="20" t="s">
        <v>120</v>
      </c>
      <c r="E47" s="25">
        <v>9</v>
      </c>
      <c r="F47" s="25">
        <v>14</v>
      </c>
      <c r="G47" s="25">
        <f t="shared" si="2"/>
        <v>5</v>
      </c>
      <c r="H47" s="20">
        <f t="shared" si="3"/>
        <v>0.5</v>
      </c>
      <c r="I47" s="20" t="s">
        <v>139</v>
      </c>
      <c r="J47" s="20" t="s">
        <v>140</v>
      </c>
      <c r="K47" s="20" t="s">
        <v>104</v>
      </c>
    </row>
    <row r="48" spans="1:11">
      <c r="A48" s="22" t="s">
        <v>125</v>
      </c>
      <c r="B48" s="21">
        <v>1047</v>
      </c>
      <c r="C48" s="20">
        <v>6622</v>
      </c>
      <c r="D48" s="20" t="s">
        <v>112</v>
      </c>
      <c r="E48" s="25">
        <v>42</v>
      </c>
      <c r="F48" s="25">
        <v>77</v>
      </c>
      <c r="G48" s="25">
        <f t="shared" si="2"/>
        <v>35</v>
      </c>
      <c r="H48" s="20">
        <f t="shared" si="3"/>
        <v>7</v>
      </c>
      <c r="I48" s="20" t="s">
        <v>143</v>
      </c>
      <c r="J48" s="20" t="s">
        <v>144</v>
      </c>
      <c r="K48" s="20" t="s">
        <v>110</v>
      </c>
    </row>
    <row r="49" spans="1:11">
      <c r="A49" s="22" t="s">
        <v>125</v>
      </c>
      <c r="B49" s="21">
        <v>1048</v>
      </c>
      <c r="C49" s="20">
        <v>8722</v>
      </c>
      <c r="D49" s="20" t="s">
        <v>105</v>
      </c>
      <c r="E49" s="25">
        <v>344</v>
      </c>
      <c r="F49" s="25">
        <v>502</v>
      </c>
      <c r="G49" s="25">
        <f t="shared" si="2"/>
        <v>158</v>
      </c>
      <c r="H49" s="20">
        <f t="shared" si="3"/>
        <v>31.6</v>
      </c>
      <c r="I49" s="20" t="s">
        <v>137</v>
      </c>
      <c r="J49" s="20" t="s">
        <v>138</v>
      </c>
      <c r="K49" s="20" t="s">
        <v>110</v>
      </c>
    </row>
    <row r="50" spans="1:11">
      <c r="A50" s="22" t="s">
        <v>123</v>
      </c>
      <c r="B50" s="21">
        <v>1049</v>
      </c>
      <c r="C50" s="20">
        <v>2499</v>
      </c>
      <c r="D50" s="20" t="s">
        <v>118</v>
      </c>
      <c r="E50" s="25">
        <v>6.2</v>
      </c>
      <c r="F50" s="25">
        <v>9.1999999999999993</v>
      </c>
      <c r="G50" s="25">
        <f t="shared" si="2"/>
        <v>2.9999999999999991</v>
      </c>
      <c r="H50" s="20">
        <f t="shared" si="3"/>
        <v>0.29999999999999993</v>
      </c>
      <c r="I50" s="20" t="s">
        <v>137</v>
      </c>
      <c r="J50" s="20" t="s">
        <v>138</v>
      </c>
      <c r="K50" s="20" t="s">
        <v>124</v>
      </c>
    </row>
    <row r="51" spans="1:11">
      <c r="A51" s="22" t="s">
        <v>123</v>
      </c>
      <c r="B51" s="21">
        <v>1050</v>
      </c>
      <c r="C51" s="20">
        <v>2877</v>
      </c>
      <c r="D51" s="20" t="s">
        <v>119</v>
      </c>
      <c r="E51" s="25">
        <v>11.4</v>
      </c>
      <c r="F51" s="25">
        <v>16.3</v>
      </c>
      <c r="G51" s="25">
        <f t="shared" si="2"/>
        <v>4.9000000000000004</v>
      </c>
      <c r="H51" s="20">
        <f t="shared" si="3"/>
        <v>0.49000000000000005</v>
      </c>
      <c r="I51" s="20" t="s">
        <v>137</v>
      </c>
      <c r="J51" s="20" t="s">
        <v>138</v>
      </c>
      <c r="K51" s="20" t="s">
        <v>110</v>
      </c>
    </row>
    <row r="52" spans="1:11">
      <c r="A52" s="22" t="s">
        <v>123</v>
      </c>
      <c r="B52" s="21">
        <v>1051</v>
      </c>
      <c r="C52" s="20">
        <v>6119</v>
      </c>
      <c r="D52" s="20" t="s">
        <v>120</v>
      </c>
      <c r="E52" s="25">
        <v>9</v>
      </c>
      <c r="F52" s="25">
        <v>14</v>
      </c>
      <c r="G52" s="25">
        <f t="shared" si="2"/>
        <v>5</v>
      </c>
      <c r="H52" s="20">
        <f t="shared" si="3"/>
        <v>0.5</v>
      </c>
      <c r="I52" s="20" t="s">
        <v>141</v>
      </c>
      <c r="J52" s="20" t="s">
        <v>142</v>
      </c>
      <c r="K52" s="20" t="s">
        <v>104</v>
      </c>
    </row>
    <row r="53" spans="1:11">
      <c r="A53" s="22" t="s">
        <v>123</v>
      </c>
      <c r="B53" s="21">
        <v>1052</v>
      </c>
      <c r="C53" s="20">
        <v>6622</v>
      </c>
      <c r="D53" s="20" t="s">
        <v>112</v>
      </c>
      <c r="E53" s="25">
        <v>42</v>
      </c>
      <c r="F53" s="25">
        <v>77</v>
      </c>
      <c r="G53" s="25">
        <f t="shared" si="2"/>
        <v>35</v>
      </c>
      <c r="H53" s="20">
        <f t="shared" si="3"/>
        <v>7</v>
      </c>
      <c r="I53" s="20" t="s">
        <v>141</v>
      </c>
      <c r="J53" s="20" t="s">
        <v>142</v>
      </c>
      <c r="K53" s="20" t="s">
        <v>110</v>
      </c>
    </row>
    <row r="54" spans="1:11">
      <c r="A54" s="22" t="s">
        <v>123</v>
      </c>
      <c r="B54" s="21">
        <v>1053</v>
      </c>
      <c r="C54" s="20">
        <v>2242</v>
      </c>
      <c r="D54" s="20" t="s">
        <v>108</v>
      </c>
      <c r="E54" s="25">
        <v>60</v>
      </c>
      <c r="F54" s="25">
        <v>124</v>
      </c>
      <c r="G54" s="25">
        <f t="shared" si="2"/>
        <v>64</v>
      </c>
      <c r="H54" s="20">
        <f t="shared" si="3"/>
        <v>12.8</v>
      </c>
      <c r="I54" s="20" t="s">
        <v>137</v>
      </c>
      <c r="J54" s="20" t="s">
        <v>138</v>
      </c>
      <c r="K54" s="20" t="s">
        <v>103</v>
      </c>
    </row>
    <row r="55" spans="1:11">
      <c r="A55" s="22" t="s">
        <v>123</v>
      </c>
      <c r="B55" s="21">
        <v>1054</v>
      </c>
      <c r="C55" s="20">
        <v>4421</v>
      </c>
      <c r="D55" s="20" t="s">
        <v>101</v>
      </c>
      <c r="E55" s="25">
        <v>45</v>
      </c>
      <c r="F55" s="25">
        <v>87</v>
      </c>
      <c r="G55" s="25">
        <f t="shared" si="2"/>
        <v>42</v>
      </c>
      <c r="H55" s="20">
        <f t="shared" si="3"/>
        <v>8.4</v>
      </c>
      <c r="I55" s="20" t="s">
        <v>141</v>
      </c>
      <c r="J55" s="20" t="s">
        <v>142</v>
      </c>
      <c r="K55" s="20" t="s">
        <v>100</v>
      </c>
    </row>
    <row r="56" spans="1:11">
      <c r="A56" s="22" t="s">
        <v>123</v>
      </c>
      <c r="B56" s="21">
        <v>1055</v>
      </c>
      <c r="C56" s="20">
        <v>6119</v>
      </c>
      <c r="D56" s="20" t="s">
        <v>120</v>
      </c>
      <c r="E56" s="25">
        <v>9</v>
      </c>
      <c r="F56" s="25">
        <v>14</v>
      </c>
      <c r="G56" s="25">
        <f t="shared" si="2"/>
        <v>5</v>
      </c>
      <c r="H56" s="20">
        <f t="shared" si="3"/>
        <v>0.5</v>
      </c>
      <c r="I56" s="20" t="s">
        <v>139</v>
      </c>
      <c r="J56" s="20" t="s">
        <v>140</v>
      </c>
      <c r="K56" s="20" t="s">
        <v>100</v>
      </c>
    </row>
    <row r="57" spans="1:11">
      <c r="A57" s="22" t="s">
        <v>123</v>
      </c>
      <c r="B57" s="21">
        <v>1056</v>
      </c>
      <c r="C57" s="20">
        <v>1109</v>
      </c>
      <c r="D57" s="20" t="s">
        <v>117</v>
      </c>
      <c r="E57" s="25">
        <v>3</v>
      </c>
      <c r="F57" s="25">
        <v>8</v>
      </c>
      <c r="G57" s="25">
        <f t="shared" si="2"/>
        <v>5</v>
      </c>
      <c r="H57" s="20">
        <f t="shared" si="3"/>
        <v>0.5</v>
      </c>
      <c r="I57" s="20" t="s">
        <v>141</v>
      </c>
      <c r="J57" s="20" t="s">
        <v>142</v>
      </c>
      <c r="K57" s="20" t="s">
        <v>103</v>
      </c>
    </row>
    <row r="58" spans="1:11">
      <c r="A58" s="22" t="s">
        <v>123</v>
      </c>
      <c r="B58" s="21">
        <v>1057</v>
      </c>
      <c r="C58" s="20">
        <v>2499</v>
      </c>
      <c r="D58" s="20" t="s">
        <v>118</v>
      </c>
      <c r="E58" s="25">
        <v>6.2</v>
      </c>
      <c r="F58" s="25">
        <v>9.1999999999999993</v>
      </c>
      <c r="G58" s="25">
        <f t="shared" si="2"/>
        <v>2.9999999999999991</v>
      </c>
      <c r="H58" s="20">
        <f t="shared" si="3"/>
        <v>0.29999999999999993</v>
      </c>
      <c r="I58" s="20" t="s">
        <v>139</v>
      </c>
      <c r="J58" s="20" t="s">
        <v>140</v>
      </c>
      <c r="K58" s="20" t="s">
        <v>103</v>
      </c>
    </row>
    <row r="59" spans="1:11">
      <c r="A59" s="22" t="s">
        <v>123</v>
      </c>
      <c r="B59" s="21">
        <v>1058</v>
      </c>
      <c r="C59" s="20">
        <v>6119</v>
      </c>
      <c r="D59" s="20" t="s">
        <v>120</v>
      </c>
      <c r="E59" s="25">
        <v>9</v>
      </c>
      <c r="F59" s="25">
        <v>14</v>
      </c>
      <c r="G59" s="25">
        <f t="shared" si="2"/>
        <v>5</v>
      </c>
      <c r="H59" s="20">
        <f t="shared" si="3"/>
        <v>0.5</v>
      </c>
      <c r="I59" s="20" t="s">
        <v>143</v>
      </c>
      <c r="J59" s="20" t="s">
        <v>144</v>
      </c>
      <c r="K59" s="20" t="s">
        <v>110</v>
      </c>
    </row>
    <row r="60" spans="1:11">
      <c r="A60" s="22" t="s">
        <v>123</v>
      </c>
      <c r="B60" s="21">
        <v>1059</v>
      </c>
      <c r="C60" s="20">
        <v>2242</v>
      </c>
      <c r="D60" s="20" t="s">
        <v>108</v>
      </c>
      <c r="E60" s="25">
        <v>60</v>
      </c>
      <c r="F60" s="25">
        <v>124</v>
      </c>
      <c r="G60" s="25">
        <f t="shared" si="2"/>
        <v>64</v>
      </c>
      <c r="H60" s="20">
        <f t="shared" si="3"/>
        <v>12.8</v>
      </c>
      <c r="I60" s="20" t="s">
        <v>141</v>
      </c>
      <c r="J60" s="20" t="s">
        <v>142</v>
      </c>
      <c r="K60" s="20" t="s">
        <v>110</v>
      </c>
    </row>
    <row r="61" spans="1:11">
      <c r="A61" s="22" t="s">
        <v>123</v>
      </c>
      <c r="B61" s="21">
        <v>1060</v>
      </c>
      <c r="C61" s="20">
        <v>6119</v>
      </c>
      <c r="D61" s="20" t="s">
        <v>120</v>
      </c>
      <c r="E61" s="25">
        <v>9</v>
      </c>
      <c r="F61" s="25">
        <v>14</v>
      </c>
      <c r="G61" s="25">
        <f t="shared" si="2"/>
        <v>5</v>
      </c>
      <c r="H61" s="20">
        <f t="shared" si="3"/>
        <v>0.5</v>
      </c>
      <c r="I61" s="20" t="s">
        <v>141</v>
      </c>
      <c r="J61" s="20" t="s">
        <v>142</v>
      </c>
      <c r="K61" s="20" t="s">
        <v>100</v>
      </c>
    </row>
    <row r="62" spans="1:11">
      <c r="A62" s="22" t="s">
        <v>122</v>
      </c>
      <c r="B62" s="21">
        <v>1061</v>
      </c>
      <c r="C62" s="20">
        <v>1109</v>
      </c>
      <c r="D62" s="20" t="s">
        <v>117</v>
      </c>
      <c r="E62" s="25">
        <v>3</v>
      </c>
      <c r="F62" s="25">
        <v>8</v>
      </c>
      <c r="G62" s="25">
        <f t="shared" si="2"/>
        <v>5</v>
      </c>
      <c r="H62" s="20">
        <f t="shared" si="3"/>
        <v>0.5</v>
      </c>
      <c r="I62" s="20" t="s">
        <v>141</v>
      </c>
      <c r="J62" s="20" t="s">
        <v>142</v>
      </c>
      <c r="K62" s="20" t="s">
        <v>100</v>
      </c>
    </row>
    <row r="63" spans="1:11">
      <c r="A63" s="22" t="s">
        <v>122</v>
      </c>
      <c r="B63" s="21">
        <v>1062</v>
      </c>
      <c r="C63" s="20">
        <v>2499</v>
      </c>
      <c r="D63" s="20" t="s">
        <v>118</v>
      </c>
      <c r="E63" s="25">
        <v>6.2</v>
      </c>
      <c r="F63" s="25">
        <v>9.1999999999999993</v>
      </c>
      <c r="G63" s="25">
        <f t="shared" si="2"/>
        <v>2.9999999999999991</v>
      </c>
      <c r="H63" s="20">
        <f t="shared" si="3"/>
        <v>0.29999999999999993</v>
      </c>
      <c r="I63" s="20" t="s">
        <v>137</v>
      </c>
      <c r="J63" s="20" t="s">
        <v>138</v>
      </c>
      <c r="K63" s="20" t="s">
        <v>110</v>
      </c>
    </row>
    <row r="64" spans="1:11">
      <c r="A64" s="22" t="s">
        <v>122</v>
      </c>
      <c r="B64" s="21">
        <v>1063</v>
      </c>
      <c r="C64" s="20">
        <v>1109</v>
      </c>
      <c r="D64" s="20" t="s">
        <v>117</v>
      </c>
      <c r="E64" s="25">
        <v>3</v>
      </c>
      <c r="F64" s="25">
        <v>8</v>
      </c>
      <c r="G64" s="25">
        <f t="shared" si="2"/>
        <v>5</v>
      </c>
      <c r="H64" s="20">
        <f t="shared" si="3"/>
        <v>0.5</v>
      </c>
      <c r="I64" s="20" t="s">
        <v>141</v>
      </c>
      <c r="J64" s="20" t="s">
        <v>142</v>
      </c>
      <c r="K64" s="20" t="s">
        <v>103</v>
      </c>
    </row>
    <row r="65" spans="1:11">
      <c r="A65" s="22" t="s">
        <v>122</v>
      </c>
      <c r="B65" s="21">
        <v>1064</v>
      </c>
      <c r="C65" s="20">
        <v>2499</v>
      </c>
      <c r="D65" s="20" t="s">
        <v>118</v>
      </c>
      <c r="E65" s="25">
        <v>6.2</v>
      </c>
      <c r="F65" s="25">
        <v>9.1999999999999993</v>
      </c>
      <c r="G65" s="25">
        <f t="shared" si="2"/>
        <v>2.9999999999999991</v>
      </c>
      <c r="H65" s="20">
        <f t="shared" si="3"/>
        <v>0.29999999999999993</v>
      </c>
      <c r="I65" s="20" t="s">
        <v>143</v>
      </c>
      <c r="J65" s="20" t="s">
        <v>144</v>
      </c>
      <c r="K65" s="20" t="s">
        <v>110</v>
      </c>
    </row>
    <row r="66" spans="1:11">
      <c r="A66" s="22" t="s">
        <v>122</v>
      </c>
      <c r="B66" s="21">
        <v>1065</v>
      </c>
      <c r="C66" s="20">
        <v>2499</v>
      </c>
      <c r="D66" s="20" t="s">
        <v>118</v>
      </c>
      <c r="E66" s="25">
        <v>6.2</v>
      </c>
      <c r="F66" s="25">
        <v>9.1999999999999993</v>
      </c>
      <c r="G66" s="25">
        <f t="shared" ref="G66:G97" si="4">F66-E66</f>
        <v>2.9999999999999991</v>
      </c>
      <c r="H66" s="20">
        <f t="shared" ref="H66:H97" si="5">IF(F66&gt;50,G66*0.2,G66*0.1)</f>
        <v>0.29999999999999993</v>
      </c>
      <c r="I66" s="20" t="s">
        <v>141</v>
      </c>
      <c r="J66" s="20" t="s">
        <v>142</v>
      </c>
      <c r="K66" s="20" t="s">
        <v>107</v>
      </c>
    </row>
    <row r="67" spans="1:11">
      <c r="A67" s="22" t="s">
        <v>122</v>
      </c>
      <c r="B67" s="21">
        <v>1066</v>
      </c>
      <c r="C67" s="20">
        <v>2877</v>
      </c>
      <c r="D67" s="20" t="s">
        <v>119</v>
      </c>
      <c r="E67" s="25">
        <v>11.4</v>
      </c>
      <c r="F67" s="25">
        <v>16.3</v>
      </c>
      <c r="G67" s="25">
        <f t="shared" si="4"/>
        <v>4.9000000000000004</v>
      </c>
      <c r="H67" s="20">
        <f t="shared" si="5"/>
        <v>0.49000000000000005</v>
      </c>
      <c r="I67" s="20" t="s">
        <v>141</v>
      </c>
      <c r="J67" s="20" t="s">
        <v>142</v>
      </c>
      <c r="K67" s="20" t="s">
        <v>100</v>
      </c>
    </row>
    <row r="68" spans="1:11">
      <c r="A68" s="22" t="s">
        <v>122</v>
      </c>
      <c r="B68" s="21">
        <v>1067</v>
      </c>
      <c r="C68" s="20">
        <v>2877</v>
      </c>
      <c r="D68" s="20" t="s">
        <v>119</v>
      </c>
      <c r="E68" s="25">
        <v>11.4</v>
      </c>
      <c r="F68" s="25">
        <v>16.3</v>
      </c>
      <c r="G68" s="25">
        <f t="shared" si="4"/>
        <v>4.9000000000000004</v>
      </c>
      <c r="H68" s="20">
        <f t="shared" si="5"/>
        <v>0.49000000000000005</v>
      </c>
      <c r="I68" s="20" t="s">
        <v>141</v>
      </c>
      <c r="J68" s="20" t="s">
        <v>142</v>
      </c>
      <c r="K68" s="20" t="s">
        <v>104</v>
      </c>
    </row>
    <row r="69" spans="1:11">
      <c r="A69" s="22" t="s">
        <v>122</v>
      </c>
      <c r="B69" s="21">
        <v>1068</v>
      </c>
      <c r="C69" s="20">
        <v>6119</v>
      </c>
      <c r="D69" s="20" t="s">
        <v>120</v>
      </c>
      <c r="E69" s="25">
        <v>9</v>
      </c>
      <c r="F69" s="25">
        <v>14</v>
      </c>
      <c r="G69" s="25">
        <f t="shared" si="4"/>
        <v>5</v>
      </c>
      <c r="H69" s="20">
        <f t="shared" si="5"/>
        <v>0.5</v>
      </c>
      <c r="I69" s="20" t="s">
        <v>139</v>
      </c>
      <c r="J69" s="20" t="s">
        <v>140</v>
      </c>
      <c r="K69" s="20" t="s">
        <v>103</v>
      </c>
    </row>
    <row r="70" spans="1:11">
      <c r="A70" s="22" t="s">
        <v>122</v>
      </c>
      <c r="B70" s="21">
        <v>1069</v>
      </c>
      <c r="C70" s="20">
        <v>1109</v>
      </c>
      <c r="D70" s="20" t="s">
        <v>117</v>
      </c>
      <c r="E70" s="25">
        <v>3</v>
      </c>
      <c r="F70" s="25">
        <v>8</v>
      </c>
      <c r="G70" s="25">
        <f t="shared" si="4"/>
        <v>5</v>
      </c>
      <c r="H70" s="20">
        <f t="shared" si="5"/>
        <v>0.5</v>
      </c>
      <c r="I70" s="20" t="s">
        <v>141</v>
      </c>
      <c r="J70" s="20" t="s">
        <v>142</v>
      </c>
      <c r="K70" s="20" t="s">
        <v>110</v>
      </c>
    </row>
    <row r="71" spans="1:11">
      <c r="A71" s="22" t="s">
        <v>122</v>
      </c>
      <c r="B71" s="21">
        <v>1070</v>
      </c>
      <c r="C71" s="20">
        <v>2499</v>
      </c>
      <c r="D71" s="20" t="s">
        <v>118</v>
      </c>
      <c r="E71" s="25">
        <v>6.2</v>
      </c>
      <c r="F71" s="25">
        <v>9.1999999999999993</v>
      </c>
      <c r="G71" s="25">
        <f t="shared" si="4"/>
        <v>2.9999999999999991</v>
      </c>
      <c r="H71" s="20">
        <f t="shared" si="5"/>
        <v>0.29999999999999993</v>
      </c>
      <c r="I71" s="20" t="s">
        <v>143</v>
      </c>
      <c r="J71" s="20" t="s">
        <v>144</v>
      </c>
      <c r="K71" s="20" t="s">
        <v>110</v>
      </c>
    </row>
    <row r="72" spans="1:11">
      <c r="A72" s="22" t="s">
        <v>122</v>
      </c>
      <c r="B72" s="21">
        <v>1071</v>
      </c>
      <c r="C72" s="20">
        <v>1109</v>
      </c>
      <c r="D72" s="20" t="s">
        <v>117</v>
      </c>
      <c r="E72" s="25">
        <v>3</v>
      </c>
      <c r="F72" s="25">
        <v>8</v>
      </c>
      <c r="G72" s="25">
        <f t="shared" si="4"/>
        <v>5</v>
      </c>
      <c r="H72" s="20">
        <f t="shared" si="5"/>
        <v>0.5</v>
      </c>
      <c r="I72" s="20" t="s">
        <v>137</v>
      </c>
      <c r="J72" s="20" t="s">
        <v>138</v>
      </c>
      <c r="K72" s="20" t="s">
        <v>110</v>
      </c>
    </row>
    <row r="73" spans="1:11">
      <c r="A73" s="22" t="s">
        <v>122</v>
      </c>
      <c r="B73" s="21">
        <v>1072</v>
      </c>
      <c r="C73" s="20">
        <v>1109</v>
      </c>
      <c r="D73" s="20" t="s">
        <v>117</v>
      </c>
      <c r="E73" s="25">
        <v>3</v>
      </c>
      <c r="F73" s="25">
        <v>8</v>
      </c>
      <c r="G73" s="25">
        <f t="shared" si="4"/>
        <v>5</v>
      </c>
      <c r="H73" s="20">
        <f t="shared" si="5"/>
        <v>0.5</v>
      </c>
      <c r="I73" s="20" t="s">
        <v>141</v>
      </c>
      <c r="J73" s="20" t="s">
        <v>142</v>
      </c>
      <c r="K73" s="20" t="s">
        <v>100</v>
      </c>
    </row>
    <row r="74" spans="1:11">
      <c r="A74" s="22" t="s">
        <v>122</v>
      </c>
      <c r="B74" s="21">
        <v>1073</v>
      </c>
      <c r="C74" s="20">
        <v>6622</v>
      </c>
      <c r="D74" s="20" t="s">
        <v>112</v>
      </c>
      <c r="E74" s="25">
        <v>42</v>
      </c>
      <c r="F74" s="25">
        <v>77</v>
      </c>
      <c r="G74" s="25">
        <f t="shared" si="4"/>
        <v>35</v>
      </c>
      <c r="H74" s="20">
        <f t="shared" si="5"/>
        <v>7</v>
      </c>
      <c r="I74" s="20" t="s">
        <v>141</v>
      </c>
      <c r="J74" s="20" t="s">
        <v>142</v>
      </c>
      <c r="K74" s="20" t="s">
        <v>103</v>
      </c>
    </row>
    <row r="75" spans="1:11">
      <c r="A75" s="22" t="s">
        <v>122</v>
      </c>
      <c r="B75" s="21">
        <v>1074</v>
      </c>
      <c r="C75" s="20">
        <v>2877</v>
      </c>
      <c r="D75" s="20" t="s">
        <v>119</v>
      </c>
      <c r="E75" s="25">
        <v>11.4</v>
      </c>
      <c r="F75" s="25">
        <v>16.3</v>
      </c>
      <c r="G75" s="25">
        <f t="shared" si="4"/>
        <v>4.9000000000000004</v>
      </c>
      <c r="H75" s="20">
        <f t="shared" si="5"/>
        <v>0.49000000000000005</v>
      </c>
      <c r="I75" s="20" t="s">
        <v>141</v>
      </c>
      <c r="J75" s="20" t="s">
        <v>142</v>
      </c>
      <c r="K75" s="20" t="s">
        <v>110</v>
      </c>
    </row>
    <row r="76" spans="1:11">
      <c r="A76" s="22" t="s">
        <v>122</v>
      </c>
      <c r="B76" s="21">
        <v>1075</v>
      </c>
      <c r="C76" s="20">
        <v>1109</v>
      </c>
      <c r="D76" s="20" t="s">
        <v>117</v>
      </c>
      <c r="E76" s="25">
        <v>3</v>
      </c>
      <c r="F76" s="25">
        <v>8</v>
      </c>
      <c r="G76" s="25">
        <f t="shared" si="4"/>
        <v>5</v>
      </c>
      <c r="H76" s="20">
        <f t="shared" si="5"/>
        <v>0.5</v>
      </c>
      <c r="I76" s="20" t="s">
        <v>143</v>
      </c>
      <c r="J76" s="20" t="s">
        <v>144</v>
      </c>
      <c r="K76" s="20" t="s">
        <v>103</v>
      </c>
    </row>
    <row r="77" spans="1:11">
      <c r="A77" s="22" t="s">
        <v>122</v>
      </c>
      <c r="B77" s="21">
        <v>1076</v>
      </c>
      <c r="C77" s="20">
        <v>1109</v>
      </c>
      <c r="D77" s="20" t="s">
        <v>117</v>
      </c>
      <c r="E77" s="25">
        <v>3</v>
      </c>
      <c r="F77" s="25">
        <v>8</v>
      </c>
      <c r="G77" s="25">
        <f t="shared" si="4"/>
        <v>5</v>
      </c>
      <c r="H77" s="20">
        <f t="shared" si="5"/>
        <v>0.5</v>
      </c>
      <c r="I77" s="20" t="s">
        <v>139</v>
      </c>
      <c r="J77" s="20" t="s">
        <v>140</v>
      </c>
      <c r="K77" s="20" t="s">
        <v>110</v>
      </c>
    </row>
    <row r="78" spans="1:11">
      <c r="A78" s="22" t="s">
        <v>122</v>
      </c>
      <c r="B78" s="21">
        <v>1077</v>
      </c>
      <c r="C78" s="20">
        <v>9822</v>
      </c>
      <c r="D78" s="20" t="s">
        <v>106</v>
      </c>
      <c r="E78" s="25">
        <v>58.3</v>
      </c>
      <c r="F78" s="25">
        <v>98.4</v>
      </c>
      <c r="G78" s="25">
        <f t="shared" si="4"/>
        <v>40.100000000000009</v>
      </c>
      <c r="H78" s="20">
        <f t="shared" si="5"/>
        <v>8.0200000000000014</v>
      </c>
      <c r="I78" s="20" t="s">
        <v>143</v>
      </c>
      <c r="J78" s="20" t="s">
        <v>144</v>
      </c>
      <c r="K78" s="20" t="s">
        <v>110</v>
      </c>
    </row>
    <row r="79" spans="1:11">
      <c r="A79" s="22" t="s">
        <v>122</v>
      </c>
      <c r="B79" s="21">
        <v>1078</v>
      </c>
      <c r="C79" s="20">
        <v>2877</v>
      </c>
      <c r="D79" s="20" t="s">
        <v>119</v>
      </c>
      <c r="E79" s="25">
        <v>11.4</v>
      </c>
      <c r="F79" s="25">
        <v>16.3</v>
      </c>
      <c r="G79" s="25">
        <f t="shared" si="4"/>
        <v>4.9000000000000004</v>
      </c>
      <c r="H79" s="20">
        <f t="shared" si="5"/>
        <v>0.49000000000000005</v>
      </c>
      <c r="I79" s="20" t="s">
        <v>139</v>
      </c>
      <c r="J79" s="20" t="s">
        <v>140</v>
      </c>
      <c r="K79" s="20" t="s">
        <v>100</v>
      </c>
    </row>
    <row r="80" spans="1:11">
      <c r="A80" s="22" t="s">
        <v>121</v>
      </c>
      <c r="B80" s="21">
        <v>1079</v>
      </c>
      <c r="C80" s="20">
        <v>2877</v>
      </c>
      <c r="D80" s="20" t="s">
        <v>119</v>
      </c>
      <c r="E80" s="25">
        <v>11.4</v>
      </c>
      <c r="F80" s="25">
        <v>16.3</v>
      </c>
      <c r="G80" s="25">
        <f t="shared" si="4"/>
        <v>4.9000000000000004</v>
      </c>
      <c r="H80" s="20">
        <f t="shared" si="5"/>
        <v>0.49000000000000005</v>
      </c>
      <c r="I80" s="20" t="s">
        <v>139</v>
      </c>
      <c r="J80" s="20" t="s">
        <v>140</v>
      </c>
      <c r="K80" s="20" t="s">
        <v>107</v>
      </c>
    </row>
    <row r="81" spans="1:11">
      <c r="A81" s="22" t="s">
        <v>121</v>
      </c>
      <c r="B81" s="21">
        <v>1080</v>
      </c>
      <c r="C81" s="20">
        <v>4421</v>
      </c>
      <c r="D81" s="20" t="s">
        <v>101</v>
      </c>
      <c r="E81" s="25">
        <v>45</v>
      </c>
      <c r="F81" s="25">
        <v>87</v>
      </c>
      <c r="G81" s="25">
        <f t="shared" si="4"/>
        <v>42</v>
      </c>
      <c r="H81" s="20">
        <f t="shared" si="5"/>
        <v>8.4</v>
      </c>
      <c r="I81" s="20" t="s">
        <v>141</v>
      </c>
      <c r="J81" s="20" t="s">
        <v>142</v>
      </c>
      <c r="K81" s="20" t="s">
        <v>103</v>
      </c>
    </row>
    <row r="82" spans="1:11">
      <c r="A82" s="22" t="s">
        <v>121</v>
      </c>
      <c r="B82" s="21">
        <v>1081</v>
      </c>
      <c r="C82" s="20">
        <v>6119</v>
      </c>
      <c r="D82" s="20" t="s">
        <v>120</v>
      </c>
      <c r="E82" s="25">
        <v>9</v>
      </c>
      <c r="F82" s="25">
        <v>14</v>
      </c>
      <c r="G82" s="25">
        <f t="shared" si="4"/>
        <v>5</v>
      </c>
      <c r="H82" s="20">
        <f t="shared" si="5"/>
        <v>0.5</v>
      </c>
      <c r="I82" s="20" t="s">
        <v>141</v>
      </c>
      <c r="J82" s="20" t="s">
        <v>142</v>
      </c>
      <c r="K82" s="20" t="s">
        <v>104</v>
      </c>
    </row>
    <row r="83" spans="1:11">
      <c r="A83" s="22" t="s">
        <v>121</v>
      </c>
      <c r="B83" s="21">
        <v>1082</v>
      </c>
      <c r="C83" s="20">
        <v>1109</v>
      </c>
      <c r="D83" s="20" t="s">
        <v>117</v>
      </c>
      <c r="E83" s="25">
        <v>3</v>
      </c>
      <c r="F83" s="25">
        <v>8</v>
      </c>
      <c r="G83" s="25">
        <f t="shared" si="4"/>
        <v>5</v>
      </c>
      <c r="H83" s="20">
        <f t="shared" si="5"/>
        <v>0.5</v>
      </c>
      <c r="I83" s="20" t="s">
        <v>137</v>
      </c>
      <c r="J83" s="20" t="s">
        <v>138</v>
      </c>
      <c r="K83" s="20" t="s">
        <v>103</v>
      </c>
    </row>
    <row r="84" spans="1:11">
      <c r="A84" s="22" t="s">
        <v>121</v>
      </c>
      <c r="B84" s="21">
        <v>1083</v>
      </c>
      <c r="C84" s="20">
        <v>1109</v>
      </c>
      <c r="D84" s="20" t="s">
        <v>117</v>
      </c>
      <c r="E84" s="25">
        <v>3</v>
      </c>
      <c r="F84" s="25">
        <v>8</v>
      </c>
      <c r="G84" s="25">
        <f t="shared" si="4"/>
        <v>5</v>
      </c>
      <c r="H84" s="20">
        <f t="shared" si="5"/>
        <v>0.5</v>
      </c>
      <c r="I84" s="20" t="s">
        <v>137</v>
      </c>
      <c r="J84" s="20" t="s">
        <v>138</v>
      </c>
      <c r="K84" s="20" t="s">
        <v>100</v>
      </c>
    </row>
    <row r="85" spans="1:11">
      <c r="A85" s="22" t="s">
        <v>121</v>
      </c>
      <c r="B85" s="21">
        <v>1084</v>
      </c>
      <c r="C85" s="20">
        <v>6119</v>
      </c>
      <c r="D85" s="20" t="s">
        <v>120</v>
      </c>
      <c r="E85" s="25">
        <v>9</v>
      </c>
      <c r="F85" s="25">
        <v>14</v>
      </c>
      <c r="G85" s="25">
        <f t="shared" si="4"/>
        <v>5</v>
      </c>
      <c r="H85" s="20">
        <f t="shared" si="5"/>
        <v>0.5</v>
      </c>
      <c r="I85" s="20" t="s">
        <v>137</v>
      </c>
      <c r="J85" s="20" t="s">
        <v>138</v>
      </c>
      <c r="K85" s="20" t="s">
        <v>110</v>
      </c>
    </row>
    <row r="86" spans="1:11">
      <c r="A86" s="22" t="s">
        <v>121</v>
      </c>
      <c r="B86" s="21">
        <v>1085</v>
      </c>
      <c r="C86" s="20">
        <v>9822</v>
      </c>
      <c r="D86" s="20" t="s">
        <v>106</v>
      </c>
      <c r="E86" s="25">
        <v>58.3</v>
      </c>
      <c r="F86" s="25">
        <v>98.4</v>
      </c>
      <c r="G86" s="25">
        <f t="shared" si="4"/>
        <v>40.100000000000009</v>
      </c>
      <c r="H86" s="20">
        <f t="shared" si="5"/>
        <v>8.0200000000000014</v>
      </c>
      <c r="I86" s="20" t="s">
        <v>141</v>
      </c>
      <c r="J86" s="20" t="s">
        <v>142</v>
      </c>
      <c r="K86" s="20" t="s">
        <v>100</v>
      </c>
    </row>
    <row r="87" spans="1:11">
      <c r="A87" s="22" t="s">
        <v>121</v>
      </c>
      <c r="B87" s="21">
        <v>1086</v>
      </c>
      <c r="C87" s="20">
        <v>1109</v>
      </c>
      <c r="D87" s="20" t="s">
        <v>117</v>
      </c>
      <c r="E87" s="25">
        <v>3</v>
      </c>
      <c r="F87" s="25">
        <v>8</v>
      </c>
      <c r="G87" s="25">
        <f t="shared" si="4"/>
        <v>5</v>
      </c>
      <c r="H87" s="20">
        <f t="shared" si="5"/>
        <v>0.5</v>
      </c>
      <c r="I87" s="20" t="s">
        <v>143</v>
      </c>
      <c r="J87" s="20" t="s">
        <v>144</v>
      </c>
      <c r="K87" s="20" t="s">
        <v>110</v>
      </c>
    </row>
    <row r="88" spans="1:11">
      <c r="A88" s="22" t="s">
        <v>121</v>
      </c>
      <c r="B88" s="21">
        <v>1087</v>
      </c>
      <c r="C88" s="20">
        <v>2499</v>
      </c>
      <c r="D88" s="20" t="s">
        <v>118</v>
      </c>
      <c r="E88" s="25">
        <v>6.2</v>
      </c>
      <c r="F88" s="25">
        <v>9.1999999999999993</v>
      </c>
      <c r="G88" s="25">
        <f t="shared" si="4"/>
        <v>2.9999999999999991</v>
      </c>
      <c r="H88" s="20">
        <f t="shared" si="5"/>
        <v>0.29999999999999993</v>
      </c>
      <c r="I88" s="20" t="s">
        <v>137</v>
      </c>
      <c r="J88" s="20" t="s">
        <v>138</v>
      </c>
      <c r="K88" s="20" t="s">
        <v>103</v>
      </c>
    </row>
    <row r="89" spans="1:11">
      <c r="A89" s="22" t="s">
        <v>121</v>
      </c>
      <c r="B89" s="21">
        <v>1088</v>
      </c>
      <c r="C89" s="20">
        <v>2499</v>
      </c>
      <c r="D89" s="20" t="s">
        <v>118</v>
      </c>
      <c r="E89" s="25">
        <v>6.2</v>
      </c>
      <c r="F89" s="25">
        <v>9.1999999999999993</v>
      </c>
      <c r="G89" s="25">
        <f t="shared" si="4"/>
        <v>2.9999999999999991</v>
      </c>
      <c r="H89" s="20">
        <f t="shared" si="5"/>
        <v>0.29999999999999993</v>
      </c>
      <c r="I89" s="20" t="s">
        <v>137</v>
      </c>
      <c r="J89" s="20" t="s">
        <v>138</v>
      </c>
      <c r="K89" s="20" t="s">
        <v>107</v>
      </c>
    </row>
    <row r="90" spans="1:11">
      <c r="A90" s="22" t="s">
        <v>121</v>
      </c>
      <c r="B90" s="21">
        <v>1089</v>
      </c>
      <c r="C90" s="20">
        <v>6119</v>
      </c>
      <c r="D90" s="20" t="s">
        <v>120</v>
      </c>
      <c r="E90" s="25">
        <v>9</v>
      </c>
      <c r="F90" s="25">
        <v>14</v>
      </c>
      <c r="G90" s="25">
        <f t="shared" si="4"/>
        <v>5</v>
      </c>
      <c r="H90" s="20">
        <f t="shared" si="5"/>
        <v>0.5</v>
      </c>
      <c r="I90" s="20" t="s">
        <v>141</v>
      </c>
      <c r="J90" s="20" t="s">
        <v>142</v>
      </c>
      <c r="K90" s="20" t="s">
        <v>100</v>
      </c>
    </row>
    <row r="91" spans="1:11">
      <c r="A91" s="22" t="s">
        <v>121</v>
      </c>
      <c r="B91" s="21">
        <v>1090</v>
      </c>
      <c r="C91" s="20">
        <v>2877</v>
      </c>
      <c r="D91" s="20" t="s">
        <v>119</v>
      </c>
      <c r="E91" s="25">
        <v>11.4</v>
      </c>
      <c r="F91" s="25">
        <v>16.3</v>
      </c>
      <c r="G91" s="25">
        <f t="shared" si="4"/>
        <v>4.9000000000000004</v>
      </c>
      <c r="H91" s="20">
        <f t="shared" si="5"/>
        <v>0.49000000000000005</v>
      </c>
      <c r="I91" s="20" t="s">
        <v>137</v>
      </c>
      <c r="J91" s="20" t="s">
        <v>138</v>
      </c>
      <c r="K91" s="20" t="s">
        <v>103</v>
      </c>
    </row>
    <row r="92" spans="1:11">
      <c r="A92" s="22" t="s">
        <v>121</v>
      </c>
      <c r="B92" s="21">
        <v>1091</v>
      </c>
      <c r="C92" s="20">
        <v>2877</v>
      </c>
      <c r="D92" s="20" t="s">
        <v>119</v>
      </c>
      <c r="E92" s="25">
        <v>11.4</v>
      </c>
      <c r="F92" s="25">
        <v>16.3</v>
      </c>
      <c r="G92" s="25">
        <f t="shared" si="4"/>
        <v>4.9000000000000004</v>
      </c>
      <c r="H92" s="20">
        <f t="shared" si="5"/>
        <v>0.49000000000000005</v>
      </c>
      <c r="I92" s="20" t="s">
        <v>143</v>
      </c>
      <c r="J92" s="20" t="s">
        <v>144</v>
      </c>
      <c r="K92" s="20" t="s">
        <v>100</v>
      </c>
    </row>
    <row r="93" spans="1:11">
      <c r="A93" s="22" t="s">
        <v>121</v>
      </c>
      <c r="B93" s="21">
        <v>1092</v>
      </c>
      <c r="C93" s="20">
        <v>2877</v>
      </c>
      <c r="D93" s="20" t="s">
        <v>119</v>
      </c>
      <c r="E93" s="25">
        <v>11.4</v>
      </c>
      <c r="F93" s="25">
        <v>16.3</v>
      </c>
      <c r="G93" s="25">
        <f t="shared" si="4"/>
        <v>4.9000000000000004</v>
      </c>
      <c r="H93" s="20">
        <f t="shared" si="5"/>
        <v>0.49000000000000005</v>
      </c>
      <c r="I93" s="20" t="s">
        <v>141</v>
      </c>
      <c r="J93" s="20" t="s">
        <v>142</v>
      </c>
      <c r="K93" s="20" t="s">
        <v>103</v>
      </c>
    </row>
    <row r="94" spans="1:11">
      <c r="A94" s="22" t="s">
        <v>121</v>
      </c>
      <c r="B94" s="21">
        <v>1093</v>
      </c>
      <c r="C94" s="20">
        <v>6119</v>
      </c>
      <c r="D94" s="20" t="s">
        <v>120</v>
      </c>
      <c r="E94" s="25">
        <v>9</v>
      </c>
      <c r="F94" s="25">
        <v>14</v>
      </c>
      <c r="G94" s="25">
        <f t="shared" si="4"/>
        <v>5</v>
      </c>
      <c r="H94" s="20">
        <f t="shared" si="5"/>
        <v>0.5</v>
      </c>
      <c r="I94" s="20" t="s">
        <v>139</v>
      </c>
      <c r="J94" s="20" t="s">
        <v>140</v>
      </c>
      <c r="K94" s="20" t="s">
        <v>110</v>
      </c>
    </row>
    <row r="95" spans="1:11">
      <c r="A95" s="22" t="s">
        <v>121</v>
      </c>
      <c r="B95" s="21">
        <v>1094</v>
      </c>
      <c r="C95" s="20">
        <v>6119</v>
      </c>
      <c r="D95" s="20" t="s">
        <v>120</v>
      </c>
      <c r="E95" s="25">
        <v>9</v>
      </c>
      <c r="F95" s="25">
        <v>14</v>
      </c>
      <c r="G95" s="25">
        <f t="shared" si="4"/>
        <v>5</v>
      </c>
      <c r="H95" s="20">
        <f t="shared" si="5"/>
        <v>0.5</v>
      </c>
      <c r="I95" s="20" t="s">
        <v>141</v>
      </c>
      <c r="J95" s="20" t="s">
        <v>142</v>
      </c>
      <c r="K95" s="20" t="s">
        <v>103</v>
      </c>
    </row>
    <row r="96" spans="1:11">
      <c r="A96" s="22" t="s">
        <v>121</v>
      </c>
      <c r="B96" s="21">
        <v>1095</v>
      </c>
      <c r="C96" s="20">
        <v>2499</v>
      </c>
      <c r="D96" s="20" t="s">
        <v>118</v>
      </c>
      <c r="E96" s="25">
        <v>6.2</v>
      </c>
      <c r="F96" s="25">
        <v>9.1999999999999993</v>
      </c>
      <c r="G96" s="25">
        <f t="shared" si="4"/>
        <v>2.9999999999999991</v>
      </c>
      <c r="H96" s="20">
        <f t="shared" si="5"/>
        <v>0.29999999999999993</v>
      </c>
      <c r="I96" s="20" t="s">
        <v>143</v>
      </c>
      <c r="J96" s="20" t="s">
        <v>144</v>
      </c>
      <c r="K96" s="20" t="s">
        <v>110</v>
      </c>
    </row>
    <row r="97" spans="1:11">
      <c r="A97" s="22" t="s">
        <v>121</v>
      </c>
      <c r="B97" s="21">
        <v>1096</v>
      </c>
      <c r="C97" s="20">
        <v>6119</v>
      </c>
      <c r="D97" s="20" t="s">
        <v>120</v>
      </c>
      <c r="E97" s="25">
        <v>9</v>
      </c>
      <c r="F97" s="25">
        <v>14</v>
      </c>
      <c r="G97" s="25">
        <f t="shared" si="4"/>
        <v>5</v>
      </c>
      <c r="H97" s="20">
        <f t="shared" si="5"/>
        <v>0.5</v>
      </c>
      <c r="I97" s="20" t="s">
        <v>141</v>
      </c>
      <c r="J97" s="20" t="s">
        <v>142</v>
      </c>
      <c r="K97" s="20" t="s">
        <v>110</v>
      </c>
    </row>
    <row r="98" spans="1:11">
      <c r="A98" s="22" t="s">
        <v>121</v>
      </c>
      <c r="B98" s="21">
        <v>1097</v>
      </c>
      <c r="C98" s="20">
        <v>9212</v>
      </c>
      <c r="D98" s="20" t="s">
        <v>111</v>
      </c>
      <c r="E98" s="25">
        <v>4</v>
      </c>
      <c r="F98" s="25">
        <v>7</v>
      </c>
      <c r="G98" s="25">
        <f t="shared" ref="G98:G129" si="6">F98-E98</f>
        <v>3</v>
      </c>
      <c r="H98" s="20">
        <f t="shared" ref="H98:H129" si="7">IF(F98&gt;50,G98*0.2,G98*0.1)</f>
        <v>0.30000000000000004</v>
      </c>
      <c r="I98" s="20" t="s">
        <v>143</v>
      </c>
      <c r="J98" s="20" t="s">
        <v>144</v>
      </c>
      <c r="K98" s="20" t="s">
        <v>100</v>
      </c>
    </row>
    <row r="99" spans="1:11">
      <c r="A99" s="22" t="s">
        <v>121</v>
      </c>
      <c r="B99" s="21">
        <v>1098</v>
      </c>
      <c r="C99" s="20">
        <v>2877</v>
      </c>
      <c r="D99" s="20" t="s">
        <v>119</v>
      </c>
      <c r="E99" s="25">
        <v>11.4</v>
      </c>
      <c r="F99" s="25">
        <v>16.3</v>
      </c>
      <c r="G99" s="25">
        <f t="shared" si="6"/>
        <v>4.9000000000000004</v>
      </c>
      <c r="H99" s="20">
        <f t="shared" si="7"/>
        <v>0.49000000000000005</v>
      </c>
      <c r="I99" s="20" t="s">
        <v>139</v>
      </c>
      <c r="J99" s="20" t="s">
        <v>140</v>
      </c>
      <c r="K99" s="20" t="s">
        <v>107</v>
      </c>
    </row>
    <row r="100" spans="1:11">
      <c r="A100" s="22" t="s">
        <v>116</v>
      </c>
      <c r="B100" s="21">
        <v>1099</v>
      </c>
      <c r="C100" s="20">
        <v>2877</v>
      </c>
      <c r="D100" s="20" t="s">
        <v>119</v>
      </c>
      <c r="E100" s="25">
        <v>11.4</v>
      </c>
      <c r="F100" s="25">
        <v>16.3</v>
      </c>
      <c r="G100" s="25">
        <f t="shared" si="6"/>
        <v>4.9000000000000004</v>
      </c>
      <c r="H100" s="20">
        <f t="shared" si="7"/>
        <v>0.49000000000000005</v>
      </c>
      <c r="I100" s="20" t="s">
        <v>141</v>
      </c>
      <c r="J100" s="20" t="s">
        <v>142</v>
      </c>
      <c r="K100" s="20" t="s">
        <v>103</v>
      </c>
    </row>
    <row r="101" spans="1:11">
      <c r="A101" s="22" t="s">
        <v>116</v>
      </c>
      <c r="B101" s="21">
        <v>1100</v>
      </c>
      <c r="C101" s="20">
        <v>6119</v>
      </c>
      <c r="D101" s="20" t="s">
        <v>120</v>
      </c>
      <c r="E101" s="25">
        <v>9</v>
      </c>
      <c r="F101" s="25">
        <v>14</v>
      </c>
      <c r="G101" s="25">
        <f t="shared" si="6"/>
        <v>5</v>
      </c>
      <c r="H101" s="20">
        <f t="shared" si="7"/>
        <v>0.5</v>
      </c>
      <c r="I101" s="20" t="s">
        <v>137</v>
      </c>
      <c r="J101" s="20" t="s">
        <v>138</v>
      </c>
      <c r="K101" s="20" t="s">
        <v>104</v>
      </c>
    </row>
    <row r="102" spans="1:11">
      <c r="A102" s="22" t="s">
        <v>116</v>
      </c>
      <c r="B102" s="21">
        <v>1101</v>
      </c>
      <c r="C102" s="20">
        <v>2499</v>
      </c>
      <c r="D102" s="20" t="s">
        <v>118</v>
      </c>
      <c r="E102" s="25">
        <v>6.2</v>
      </c>
      <c r="F102" s="25">
        <v>9.1999999999999993</v>
      </c>
      <c r="G102" s="25">
        <f t="shared" si="6"/>
        <v>2.9999999999999991</v>
      </c>
      <c r="H102" s="20">
        <f t="shared" si="7"/>
        <v>0.29999999999999993</v>
      </c>
      <c r="I102" s="20" t="s">
        <v>141</v>
      </c>
      <c r="J102" s="20" t="s">
        <v>142</v>
      </c>
      <c r="K102" s="20" t="s">
        <v>103</v>
      </c>
    </row>
    <row r="103" spans="1:11">
      <c r="A103" s="22" t="s">
        <v>116</v>
      </c>
      <c r="B103" s="21">
        <v>1102</v>
      </c>
      <c r="C103" s="20">
        <v>2242</v>
      </c>
      <c r="D103" s="20" t="s">
        <v>108</v>
      </c>
      <c r="E103" s="25">
        <v>60</v>
      </c>
      <c r="F103" s="25">
        <v>124</v>
      </c>
      <c r="G103" s="25">
        <f t="shared" si="6"/>
        <v>64</v>
      </c>
      <c r="H103" s="20">
        <f t="shared" si="7"/>
        <v>12.8</v>
      </c>
      <c r="I103" s="20" t="s">
        <v>139</v>
      </c>
      <c r="J103" s="20" t="s">
        <v>140</v>
      </c>
      <c r="K103" s="20" t="s">
        <v>100</v>
      </c>
    </row>
    <row r="104" spans="1:11">
      <c r="A104" s="22" t="s">
        <v>116</v>
      </c>
      <c r="B104" s="21">
        <v>1103</v>
      </c>
      <c r="C104" s="20">
        <v>2877</v>
      </c>
      <c r="D104" s="20" t="s">
        <v>119</v>
      </c>
      <c r="E104" s="25">
        <v>11.4</v>
      </c>
      <c r="F104" s="25">
        <v>16.3</v>
      </c>
      <c r="G104" s="25">
        <f t="shared" si="6"/>
        <v>4.9000000000000004</v>
      </c>
      <c r="H104" s="20">
        <f t="shared" si="7"/>
        <v>0.49000000000000005</v>
      </c>
      <c r="I104" s="20" t="s">
        <v>139</v>
      </c>
      <c r="J104" s="20" t="s">
        <v>140</v>
      </c>
      <c r="K104" s="20" t="s">
        <v>110</v>
      </c>
    </row>
    <row r="105" spans="1:11">
      <c r="A105" s="22" t="s">
        <v>116</v>
      </c>
      <c r="B105" s="21">
        <v>1104</v>
      </c>
      <c r="C105" s="20">
        <v>2877</v>
      </c>
      <c r="D105" s="20" t="s">
        <v>119</v>
      </c>
      <c r="E105" s="25">
        <v>11.4</v>
      </c>
      <c r="F105" s="25">
        <v>16.3</v>
      </c>
      <c r="G105" s="25">
        <f t="shared" si="6"/>
        <v>4.9000000000000004</v>
      </c>
      <c r="H105" s="20">
        <f t="shared" si="7"/>
        <v>0.49000000000000005</v>
      </c>
      <c r="I105" s="20" t="s">
        <v>141</v>
      </c>
      <c r="J105" s="20" t="s">
        <v>142</v>
      </c>
      <c r="K105" s="20" t="s">
        <v>100</v>
      </c>
    </row>
    <row r="106" spans="1:11">
      <c r="A106" s="22" t="s">
        <v>116</v>
      </c>
      <c r="B106" s="21">
        <v>1105</v>
      </c>
      <c r="C106" s="20">
        <v>2499</v>
      </c>
      <c r="D106" s="20" t="s">
        <v>118</v>
      </c>
      <c r="E106" s="25">
        <v>6.2</v>
      </c>
      <c r="F106" s="25">
        <v>9.1999999999999993</v>
      </c>
      <c r="G106" s="25">
        <f t="shared" si="6"/>
        <v>2.9999999999999991</v>
      </c>
      <c r="H106" s="20">
        <f t="shared" si="7"/>
        <v>0.29999999999999993</v>
      </c>
      <c r="I106" s="20" t="s">
        <v>139</v>
      </c>
      <c r="J106" s="20" t="s">
        <v>140</v>
      </c>
      <c r="K106" s="20" t="s">
        <v>110</v>
      </c>
    </row>
    <row r="107" spans="1:11">
      <c r="A107" s="22" t="s">
        <v>116</v>
      </c>
      <c r="B107" s="21">
        <v>1106</v>
      </c>
      <c r="C107" s="20">
        <v>9822</v>
      </c>
      <c r="D107" s="20" t="s">
        <v>106</v>
      </c>
      <c r="E107" s="25">
        <v>58.3</v>
      </c>
      <c r="F107" s="25">
        <v>98.4</v>
      </c>
      <c r="G107" s="25">
        <f t="shared" si="6"/>
        <v>40.100000000000009</v>
      </c>
      <c r="H107" s="20">
        <f t="shared" si="7"/>
        <v>8.0200000000000014</v>
      </c>
      <c r="I107" s="20" t="s">
        <v>139</v>
      </c>
      <c r="J107" s="20" t="s">
        <v>140</v>
      </c>
      <c r="K107" s="20" t="s">
        <v>103</v>
      </c>
    </row>
    <row r="108" spans="1:11">
      <c r="A108" s="22" t="s">
        <v>116</v>
      </c>
      <c r="B108" s="21">
        <v>1107</v>
      </c>
      <c r="C108" s="20">
        <v>1109</v>
      </c>
      <c r="D108" s="20" t="s">
        <v>117</v>
      </c>
      <c r="E108" s="25">
        <v>3</v>
      </c>
      <c r="F108" s="25">
        <v>8</v>
      </c>
      <c r="G108" s="25">
        <f t="shared" si="6"/>
        <v>5</v>
      </c>
      <c r="H108" s="20">
        <f t="shared" si="7"/>
        <v>0.5</v>
      </c>
      <c r="I108" s="20" t="s">
        <v>143</v>
      </c>
      <c r="J108" s="20" t="s">
        <v>144</v>
      </c>
      <c r="K108" s="20" t="s">
        <v>107</v>
      </c>
    </row>
    <row r="109" spans="1:11">
      <c r="A109" s="22" t="s">
        <v>116</v>
      </c>
      <c r="B109" s="21">
        <v>1108</v>
      </c>
      <c r="C109" s="20">
        <v>9822</v>
      </c>
      <c r="D109" s="20" t="s">
        <v>106</v>
      </c>
      <c r="E109" s="25">
        <v>58.3</v>
      </c>
      <c r="F109" s="25">
        <v>98.4</v>
      </c>
      <c r="G109" s="25">
        <f t="shared" si="6"/>
        <v>40.100000000000009</v>
      </c>
      <c r="H109" s="20">
        <f t="shared" si="7"/>
        <v>8.0200000000000014</v>
      </c>
      <c r="I109" s="20" t="s">
        <v>141</v>
      </c>
      <c r="J109" s="20" t="s">
        <v>142</v>
      </c>
      <c r="K109" s="20" t="s">
        <v>100</v>
      </c>
    </row>
    <row r="110" spans="1:11">
      <c r="A110" s="22" t="s">
        <v>116</v>
      </c>
      <c r="B110" s="21">
        <v>1109</v>
      </c>
      <c r="C110" s="20">
        <v>8722</v>
      </c>
      <c r="D110" s="20" t="s">
        <v>105</v>
      </c>
      <c r="E110" s="25">
        <v>344</v>
      </c>
      <c r="F110" s="25">
        <v>502</v>
      </c>
      <c r="G110" s="25">
        <f t="shared" si="6"/>
        <v>158</v>
      </c>
      <c r="H110" s="20">
        <f t="shared" si="7"/>
        <v>31.6</v>
      </c>
      <c r="I110" s="20" t="s">
        <v>139</v>
      </c>
      <c r="J110" s="20" t="s">
        <v>140</v>
      </c>
      <c r="K110" s="20" t="s">
        <v>103</v>
      </c>
    </row>
    <row r="111" spans="1:11">
      <c r="A111" s="22" t="s">
        <v>116</v>
      </c>
      <c r="B111" s="21">
        <v>1110</v>
      </c>
      <c r="C111" s="20">
        <v>8722</v>
      </c>
      <c r="D111" s="20" t="s">
        <v>105</v>
      </c>
      <c r="E111" s="25">
        <v>344</v>
      </c>
      <c r="F111" s="25">
        <v>502</v>
      </c>
      <c r="G111" s="25">
        <f t="shared" si="6"/>
        <v>158</v>
      </c>
      <c r="H111" s="20">
        <f t="shared" si="7"/>
        <v>31.6</v>
      </c>
      <c r="I111" s="20" t="s">
        <v>143</v>
      </c>
      <c r="J111" s="20" t="s">
        <v>144</v>
      </c>
      <c r="K111" s="20" t="s">
        <v>100</v>
      </c>
    </row>
    <row r="112" spans="1:11">
      <c r="A112" s="22" t="s">
        <v>116</v>
      </c>
      <c r="B112" s="21">
        <v>1111</v>
      </c>
      <c r="C112" s="20">
        <v>6622</v>
      </c>
      <c r="D112" s="20" t="s">
        <v>112</v>
      </c>
      <c r="E112" s="25">
        <v>42</v>
      </c>
      <c r="F112" s="25">
        <v>77</v>
      </c>
      <c r="G112" s="25">
        <f t="shared" si="6"/>
        <v>35</v>
      </c>
      <c r="H112" s="20">
        <f t="shared" si="7"/>
        <v>7</v>
      </c>
      <c r="I112" s="20" t="s">
        <v>143</v>
      </c>
      <c r="J112" s="20" t="s">
        <v>144</v>
      </c>
      <c r="K112" s="20" t="s">
        <v>103</v>
      </c>
    </row>
    <row r="113" spans="1:11">
      <c r="A113" s="22" t="s">
        <v>116</v>
      </c>
      <c r="B113" s="21">
        <v>1112</v>
      </c>
      <c r="C113" s="20">
        <v>6622</v>
      </c>
      <c r="D113" s="20" t="s">
        <v>112</v>
      </c>
      <c r="E113" s="25">
        <v>42</v>
      </c>
      <c r="F113" s="25">
        <v>77</v>
      </c>
      <c r="G113" s="25">
        <f t="shared" si="6"/>
        <v>35</v>
      </c>
      <c r="H113" s="20">
        <f t="shared" si="7"/>
        <v>7</v>
      </c>
      <c r="I113" s="20" t="s">
        <v>141</v>
      </c>
      <c r="J113" s="20" t="s">
        <v>142</v>
      </c>
      <c r="K113" s="20" t="s">
        <v>110</v>
      </c>
    </row>
    <row r="114" spans="1:11">
      <c r="A114" s="22" t="s">
        <v>116</v>
      </c>
      <c r="B114" s="21">
        <v>1113</v>
      </c>
      <c r="C114" s="20">
        <v>9822</v>
      </c>
      <c r="D114" s="20" t="s">
        <v>106</v>
      </c>
      <c r="E114" s="25">
        <v>58.3</v>
      </c>
      <c r="F114" s="25">
        <v>98.4</v>
      </c>
      <c r="G114" s="25">
        <f t="shared" si="6"/>
        <v>40.100000000000009</v>
      </c>
      <c r="H114" s="20">
        <f t="shared" si="7"/>
        <v>8.0200000000000014</v>
      </c>
      <c r="I114" s="20" t="s">
        <v>137</v>
      </c>
      <c r="J114" s="20" t="s">
        <v>138</v>
      </c>
      <c r="K114" s="20" t="s">
        <v>103</v>
      </c>
    </row>
    <row r="115" spans="1:11">
      <c r="A115" s="22" t="s">
        <v>116</v>
      </c>
      <c r="B115" s="21">
        <v>1114</v>
      </c>
      <c r="C115" s="20">
        <v>2242</v>
      </c>
      <c r="D115" s="20" t="s">
        <v>108</v>
      </c>
      <c r="E115" s="25">
        <v>60</v>
      </c>
      <c r="F115" s="25">
        <v>124</v>
      </c>
      <c r="G115" s="25">
        <f t="shared" si="6"/>
        <v>64</v>
      </c>
      <c r="H115" s="20">
        <f t="shared" si="7"/>
        <v>12.8</v>
      </c>
      <c r="I115" s="20" t="s">
        <v>139</v>
      </c>
      <c r="J115" s="20" t="s">
        <v>140</v>
      </c>
      <c r="K115" s="20" t="s">
        <v>110</v>
      </c>
    </row>
    <row r="116" spans="1:11">
      <c r="A116" s="22" t="s">
        <v>116</v>
      </c>
      <c r="B116" s="21">
        <v>1115</v>
      </c>
      <c r="C116" s="20">
        <v>8722</v>
      </c>
      <c r="D116" s="20" t="s">
        <v>105</v>
      </c>
      <c r="E116" s="25">
        <v>344</v>
      </c>
      <c r="F116" s="25">
        <v>502</v>
      </c>
      <c r="G116" s="25">
        <f t="shared" si="6"/>
        <v>158</v>
      </c>
      <c r="H116" s="20">
        <f t="shared" si="7"/>
        <v>31.6</v>
      </c>
      <c r="I116" s="20" t="s">
        <v>137</v>
      </c>
      <c r="J116" s="20" t="s">
        <v>138</v>
      </c>
      <c r="K116" s="20" t="s">
        <v>110</v>
      </c>
    </row>
    <row r="117" spans="1:11">
      <c r="A117" s="22" t="s">
        <v>116</v>
      </c>
      <c r="B117" s="21">
        <v>1116</v>
      </c>
      <c r="C117" s="20">
        <v>6622</v>
      </c>
      <c r="D117" s="20" t="s">
        <v>112</v>
      </c>
      <c r="E117" s="25">
        <v>42</v>
      </c>
      <c r="F117" s="25">
        <v>77</v>
      </c>
      <c r="G117" s="25">
        <f t="shared" si="6"/>
        <v>35</v>
      </c>
      <c r="H117" s="20">
        <f t="shared" si="7"/>
        <v>7</v>
      </c>
      <c r="I117" s="20" t="s">
        <v>141</v>
      </c>
      <c r="J117" s="20" t="s">
        <v>142</v>
      </c>
      <c r="K117" s="20" t="s">
        <v>100</v>
      </c>
    </row>
    <row r="118" spans="1:11">
      <c r="A118" s="22" t="s">
        <v>116</v>
      </c>
      <c r="B118" s="21">
        <v>1117</v>
      </c>
      <c r="C118" s="20">
        <v>8722</v>
      </c>
      <c r="D118" s="20" t="s">
        <v>105</v>
      </c>
      <c r="E118" s="25">
        <v>344</v>
      </c>
      <c r="F118" s="25">
        <v>502</v>
      </c>
      <c r="G118" s="25">
        <f t="shared" si="6"/>
        <v>158</v>
      </c>
      <c r="H118" s="20">
        <f t="shared" si="7"/>
        <v>31.6</v>
      </c>
      <c r="I118" s="20" t="s">
        <v>143</v>
      </c>
      <c r="J118" s="20" t="s">
        <v>144</v>
      </c>
      <c r="K118" s="20" t="s">
        <v>107</v>
      </c>
    </row>
    <row r="119" spans="1:11">
      <c r="A119" s="22" t="s">
        <v>116</v>
      </c>
      <c r="B119" s="21">
        <v>1118</v>
      </c>
      <c r="C119" s="20">
        <v>9822</v>
      </c>
      <c r="D119" s="20" t="s">
        <v>106</v>
      </c>
      <c r="E119" s="25">
        <v>58.3</v>
      </c>
      <c r="F119" s="25">
        <v>98.4</v>
      </c>
      <c r="G119" s="25">
        <f t="shared" si="6"/>
        <v>40.100000000000009</v>
      </c>
      <c r="H119" s="20">
        <f t="shared" si="7"/>
        <v>8.0200000000000014</v>
      </c>
      <c r="I119" s="20" t="s">
        <v>139</v>
      </c>
      <c r="J119" s="20" t="s">
        <v>140</v>
      </c>
      <c r="K119" s="20" t="s">
        <v>103</v>
      </c>
    </row>
    <row r="120" spans="1:11">
      <c r="A120" s="22" t="s">
        <v>116</v>
      </c>
      <c r="B120" s="21">
        <v>1119</v>
      </c>
      <c r="C120" s="20">
        <v>2242</v>
      </c>
      <c r="D120" s="20" t="s">
        <v>108</v>
      </c>
      <c r="E120" s="25">
        <v>60</v>
      </c>
      <c r="F120" s="25">
        <v>124</v>
      </c>
      <c r="G120" s="25">
        <f t="shared" si="6"/>
        <v>64</v>
      </c>
      <c r="H120" s="20">
        <f t="shared" si="7"/>
        <v>12.8</v>
      </c>
      <c r="I120" s="20" t="s">
        <v>137</v>
      </c>
      <c r="J120" s="20" t="s">
        <v>138</v>
      </c>
      <c r="K120" s="20" t="s">
        <v>104</v>
      </c>
    </row>
    <row r="121" spans="1:11">
      <c r="A121" s="22" t="s">
        <v>116</v>
      </c>
      <c r="B121" s="21">
        <v>1120</v>
      </c>
      <c r="C121" s="20">
        <v>2242</v>
      </c>
      <c r="D121" s="20" t="s">
        <v>108</v>
      </c>
      <c r="E121" s="25">
        <v>60</v>
      </c>
      <c r="F121" s="25">
        <v>124</v>
      </c>
      <c r="G121" s="25">
        <f t="shared" si="6"/>
        <v>64</v>
      </c>
      <c r="H121" s="20">
        <f t="shared" si="7"/>
        <v>12.8</v>
      </c>
      <c r="I121" s="20" t="s">
        <v>141</v>
      </c>
      <c r="J121" s="20" t="s">
        <v>142</v>
      </c>
      <c r="K121" s="20" t="s">
        <v>103</v>
      </c>
    </row>
    <row r="122" spans="1:11">
      <c r="A122" s="22" t="s">
        <v>116</v>
      </c>
      <c r="B122" s="21">
        <v>1121</v>
      </c>
      <c r="C122" s="20">
        <v>4421</v>
      </c>
      <c r="D122" s="20" t="s">
        <v>101</v>
      </c>
      <c r="E122" s="25">
        <v>45</v>
      </c>
      <c r="F122" s="25">
        <v>87</v>
      </c>
      <c r="G122" s="25">
        <f t="shared" si="6"/>
        <v>42</v>
      </c>
      <c r="H122" s="20">
        <f t="shared" si="7"/>
        <v>8.4</v>
      </c>
      <c r="I122" s="20" t="s">
        <v>141</v>
      </c>
      <c r="J122" s="20" t="s">
        <v>142</v>
      </c>
      <c r="K122" s="20" t="s">
        <v>100</v>
      </c>
    </row>
    <row r="123" spans="1:11">
      <c r="A123" s="22" t="s">
        <v>116</v>
      </c>
      <c r="B123" s="21">
        <v>1122</v>
      </c>
      <c r="C123" s="20">
        <v>8722</v>
      </c>
      <c r="D123" s="20" t="s">
        <v>105</v>
      </c>
      <c r="E123" s="25">
        <v>344</v>
      </c>
      <c r="F123" s="25">
        <v>502</v>
      </c>
      <c r="G123" s="25">
        <f t="shared" si="6"/>
        <v>158</v>
      </c>
      <c r="H123" s="20">
        <f t="shared" si="7"/>
        <v>31.6</v>
      </c>
      <c r="I123" s="20" t="s">
        <v>141</v>
      </c>
      <c r="J123" s="20" t="s">
        <v>142</v>
      </c>
      <c r="K123" s="20" t="s">
        <v>110</v>
      </c>
    </row>
    <row r="124" spans="1:11">
      <c r="A124" s="22" t="s">
        <v>116</v>
      </c>
      <c r="B124" s="21">
        <v>1123</v>
      </c>
      <c r="C124" s="20">
        <v>9822</v>
      </c>
      <c r="D124" s="20" t="s">
        <v>106</v>
      </c>
      <c r="E124" s="25">
        <v>58.3</v>
      </c>
      <c r="F124" s="25">
        <v>98.4</v>
      </c>
      <c r="G124" s="25">
        <f t="shared" si="6"/>
        <v>40.100000000000009</v>
      </c>
      <c r="H124" s="20">
        <f t="shared" si="7"/>
        <v>8.0200000000000014</v>
      </c>
      <c r="I124" s="20" t="s">
        <v>141</v>
      </c>
      <c r="J124" s="20" t="s">
        <v>142</v>
      </c>
      <c r="K124" s="20" t="s">
        <v>100</v>
      </c>
    </row>
    <row r="125" spans="1:11">
      <c r="A125" s="22" t="s">
        <v>116</v>
      </c>
      <c r="B125" s="21">
        <v>1124</v>
      </c>
      <c r="C125" s="20">
        <v>4421</v>
      </c>
      <c r="D125" s="20" t="s">
        <v>101</v>
      </c>
      <c r="E125" s="25">
        <v>45</v>
      </c>
      <c r="F125" s="25">
        <v>87</v>
      </c>
      <c r="G125" s="25">
        <f t="shared" si="6"/>
        <v>42</v>
      </c>
      <c r="H125" s="20">
        <f t="shared" si="7"/>
        <v>8.4</v>
      </c>
      <c r="I125" s="20" t="s">
        <v>141</v>
      </c>
      <c r="J125" s="20" t="s">
        <v>142</v>
      </c>
      <c r="K125" s="20" t="s">
        <v>110</v>
      </c>
    </row>
    <row r="126" spans="1:11">
      <c r="A126" s="22" t="s">
        <v>115</v>
      </c>
      <c r="B126" s="21">
        <v>1125</v>
      </c>
      <c r="C126" s="20">
        <v>2242</v>
      </c>
      <c r="D126" s="20" t="s">
        <v>108</v>
      </c>
      <c r="E126" s="25">
        <v>60</v>
      </c>
      <c r="F126" s="25">
        <v>124</v>
      </c>
      <c r="G126" s="25">
        <f t="shared" si="6"/>
        <v>64</v>
      </c>
      <c r="H126" s="20">
        <f t="shared" si="7"/>
        <v>12.8</v>
      </c>
      <c r="I126" s="20" t="s">
        <v>141</v>
      </c>
      <c r="J126" s="20" t="s">
        <v>142</v>
      </c>
      <c r="K126" s="20" t="s">
        <v>103</v>
      </c>
    </row>
    <row r="127" spans="1:11">
      <c r="A127" s="22" t="s">
        <v>115</v>
      </c>
      <c r="B127" s="21">
        <v>1126</v>
      </c>
      <c r="C127" s="20">
        <v>9212</v>
      </c>
      <c r="D127" s="20" t="s">
        <v>111</v>
      </c>
      <c r="E127" s="25">
        <v>4</v>
      </c>
      <c r="F127" s="25">
        <v>7</v>
      </c>
      <c r="G127" s="25">
        <f t="shared" si="6"/>
        <v>3</v>
      </c>
      <c r="H127" s="20">
        <f t="shared" si="7"/>
        <v>0.30000000000000004</v>
      </c>
      <c r="I127" s="20" t="s">
        <v>141</v>
      </c>
      <c r="J127" s="20" t="s">
        <v>142</v>
      </c>
      <c r="K127" s="20" t="s">
        <v>107</v>
      </c>
    </row>
    <row r="128" spans="1:11">
      <c r="A128" s="22" t="s">
        <v>115</v>
      </c>
      <c r="B128" s="21">
        <v>1127</v>
      </c>
      <c r="C128" s="20">
        <v>8722</v>
      </c>
      <c r="D128" s="20" t="s">
        <v>105</v>
      </c>
      <c r="E128" s="25">
        <v>344</v>
      </c>
      <c r="F128" s="25">
        <v>502</v>
      </c>
      <c r="G128" s="25">
        <f t="shared" si="6"/>
        <v>158</v>
      </c>
      <c r="H128" s="20">
        <f t="shared" si="7"/>
        <v>31.6</v>
      </c>
      <c r="I128" s="20" t="s">
        <v>137</v>
      </c>
      <c r="J128" s="20" t="s">
        <v>138</v>
      </c>
      <c r="K128" s="20" t="s">
        <v>100</v>
      </c>
    </row>
    <row r="129" spans="1:11">
      <c r="A129" s="22" t="s">
        <v>115</v>
      </c>
      <c r="B129" s="21">
        <v>1128</v>
      </c>
      <c r="C129" s="20">
        <v>6622</v>
      </c>
      <c r="D129" s="20" t="s">
        <v>112</v>
      </c>
      <c r="E129" s="25">
        <v>42</v>
      </c>
      <c r="F129" s="25">
        <v>77</v>
      </c>
      <c r="G129" s="25">
        <f t="shared" si="6"/>
        <v>35</v>
      </c>
      <c r="H129" s="20">
        <f t="shared" si="7"/>
        <v>7</v>
      </c>
      <c r="I129" s="20" t="s">
        <v>139</v>
      </c>
      <c r="J129" s="20" t="s">
        <v>140</v>
      </c>
      <c r="K129" s="20" t="s">
        <v>103</v>
      </c>
    </row>
    <row r="130" spans="1:11">
      <c r="A130" s="22" t="s">
        <v>115</v>
      </c>
      <c r="B130" s="21">
        <v>1129</v>
      </c>
      <c r="C130" s="20">
        <v>9822</v>
      </c>
      <c r="D130" s="20" t="s">
        <v>106</v>
      </c>
      <c r="E130" s="25">
        <v>58.3</v>
      </c>
      <c r="F130" s="25">
        <v>98.4</v>
      </c>
      <c r="G130" s="25">
        <f t="shared" ref="G130:G161" si="8">F130-E130</f>
        <v>40.100000000000009</v>
      </c>
      <c r="H130" s="20">
        <f t="shared" ref="H130:H161" si="9">IF(F130&gt;50,G130*0.2,G130*0.1)</f>
        <v>8.0200000000000014</v>
      </c>
      <c r="I130" s="20" t="s">
        <v>143</v>
      </c>
      <c r="J130" s="20" t="s">
        <v>144</v>
      </c>
      <c r="K130" s="20" t="s">
        <v>100</v>
      </c>
    </row>
    <row r="131" spans="1:11">
      <c r="A131" s="22" t="s">
        <v>115</v>
      </c>
      <c r="B131" s="21">
        <v>1130</v>
      </c>
      <c r="C131" s="20">
        <v>4421</v>
      </c>
      <c r="D131" s="20" t="s">
        <v>101</v>
      </c>
      <c r="E131" s="25">
        <v>45</v>
      </c>
      <c r="F131" s="25">
        <v>87</v>
      </c>
      <c r="G131" s="25">
        <f t="shared" si="8"/>
        <v>42</v>
      </c>
      <c r="H131" s="20">
        <f t="shared" si="9"/>
        <v>8.4</v>
      </c>
      <c r="I131" s="20" t="s">
        <v>143</v>
      </c>
      <c r="J131" s="20" t="s">
        <v>144</v>
      </c>
      <c r="K131" s="20" t="s">
        <v>103</v>
      </c>
    </row>
    <row r="132" spans="1:11">
      <c r="A132" s="22" t="s">
        <v>115</v>
      </c>
      <c r="B132" s="21">
        <v>1131</v>
      </c>
      <c r="C132" s="20">
        <v>9212</v>
      </c>
      <c r="D132" s="20" t="s">
        <v>111</v>
      </c>
      <c r="E132" s="25">
        <v>4</v>
      </c>
      <c r="F132" s="25">
        <v>7</v>
      </c>
      <c r="G132" s="25">
        <f t="shared" si="8"/>
        <v>3</v>
      </c>
      <c r="H132" s="20">
        <f t="shared" si="9"/>
        <v>0.30000000000000004</v>
      </c>
      <c r="I132" s="20" t="s">
        <v>143</v>
      </c>
      <c r="J132" s="20" t="s">
        <v>144</v>
      </c>
      <c r="K132" s="20" t="s">
        <v>110</v>
      </c>
    </row>
    <row r="133" spans="1:11">
      <c r="A133" s="22" t="s">
        <v>115</v>
      </c>
      <c r="B133" s="21">
        <v>1132</v>
      </c>
      <c r="C133" s="20">
        <v>9212</v>
      </c>
      <c r="D133" s="20" t="s">
        <v>111</v>
      </c>
      <c r="E133" s="25">
        <v>4</v>
      </c>
      <c r="F133" s="25">
        <v>7</v>
      </c>
      <c r="G133" s="25">
        <f t="shared" si="8"/>
        <v>3</v>
      </c>
      <c r="H133" s="20">
        <f t="shared" si="9"/>
        <v>0.30000000000000004</v>
      </c>
      <c r="I133" s="20" t="s">
        <v>143</v>
      </c>
      <c r="J133" s="20" t="s">
        <v>144</v>
      </c>
      <c r="K133" s="20" t="s">
        <v>103</v>
      </c>
    </row>
    <row r="134" spans="1:11">
      <c r="A134" s="22" t="s">
        <v>115</v>
      </c>
      <c r="B134" s="21">
        <v>1133</v>
      </c>
      <c r="C134" s="20">
        <v>9822</v>
      </c>
      <c r="D134" s="20" t="s">
        <v>106</v>
      </c>
      <c r="E134" s="25">
        <v>58.3</v>
      </c>
      <c r="F134" s="25">
        <v>98.4</v>
      </c>
      <c r="G134" s="25">
        <f t="shared" si="8"/>
        <v>40.100000000000009</v>
      </c>
      <c r="H134" s="20">
        <f t="shared" si="9"/>
        <v>8.0200000000000014</v>
      </c>
      <c r="I134" s="20" t="s">
        <v>137</v>
      </c>
      <c r="J134" s="20" t="s">
        <v>138</v>
      </c>
      <c r="K134" s="20" t="s">
        <v>110</v>
      </c>
    </row>
    <row r="135" spans="1:11">
      <c r="A135" s="22" t="s">
        <v>115</v>
      </c>
      <c r="B135" s="21">
        <v>1134</v>
      </c>
      <c r="C135" s="20">
        <v>9822</v>
      </c>
      <c r="D135" s="20" t="s">
        <v>106</v>
      </c>
      <c r="E135" s="25">
        <v>58.3</v>
      </c>
      <c r="F135" s="25">
        <v>98.4</v>
      </c>
      <c r="G135" s="25">
        <f t="shared" si="8"/>
        <v>40.100000000000009</v>
      </c>
      <c r="H135" s="20">
        <f t="shared" si="9"/>
        <v>8.0200000000000014</v>
      </c>
      <c r="I135" s="20" t="s">
        <v>141</v>
      </c>
      <c r="J135" s="20" t="s">
        <v>142</v>
      </c>
      <c r="K135" s="20" t="s">
        <v>110</v>
      </c>
    </row>
    <row r="136" spans="1:11">
      <c r="A136" s="22" t="s">
        <v>115</v>
      </c>
      <c r="B136" s="21">
        <v>1135</v>
      </c>
      <c r="C136" s="20">
        <v>8722</v>
      </c>
      <c r="D136" s="20" t="s">
        <v>105</v>
      </c>
      <c r="E136" s="25">
        <v>344</v>
      </c>
      <c r="F136" s="25">
        <v>502</v>
      </c>
      <c r="G136" s="25">
        <f t="shared" si="8"/>
        <v>158</v>
      </c>
      <c r="H136" s="20">
        <f t="shared" si="9"/>
        <v>31.6</v>
      </c>
      <c r="I136" s="20" t="s">
        <v>137</v>
      </c>
      <c r="J136" s="20" t="s">
        <v>138</v>
      </c>
      <c r="K136" s="20" t="s">
        <v>100</v>
      </c>
    </row>
    <row r="137" spans="1:11">
      <c r="A137" s="22" t="s">
        <v>115</v>
      </c>
      <c r="B137" s="21">
        <v>1136</v>
      </c>
      <c r="C137" s="20">
        <v>2242</v>
      </c>
      <c r="D137" s="20" t="s">
        <v>108</v>
      </c>
      <c r="E137" s="25">
        <v>60</v>
      </c>
      <c r="F137" s="25">
        <v>124</v>
      </c>
      <c r="G137" s="25">
        <f t="shared" si="8"/>
        <v>64</v>
      </c>
      <c r="H137" s="20">
        <f t="shared" si="9"/>
        <v>12.8</v>
      </c>
      <c r="I137" s="20" t="s">
        <v>141</v>
      </c>
      <c r="J137" s="20" t="s">
        <v>142</v>
      </c>
      <c r="K137" s="20" t="s">
        <v>107</v>
      </c>
    </row>
    <row r="138" spans="1:11">
      <c r="A138" s="22" t="s">
        <v>115</v>
      </c>
      <c r="B138" s="21">
        <v>1137</v>
      </c>
      <c r="C138" s="20">
        <v>9822</v>
      </c>
      <c r="D138" s="20" t="s">
        <v>106</v>
      </c>
      <c r="E138" s="25">
        <v>58.3</v>
      </c>
      <c r="F138" s="25">
        <v>98.4</v>
      </c>
      <c r="G138" s="25">
        <f t="shared" si="8"/>
        <v>40.100000000000009</v>
      </c>
      <c r="H138" s="20">
        <f t="shared" si="9"/>
        <v>8.0200000000000014</v>
      </c>
      <c r="I138" s="20" t="s">
        <v>139</v>
      </c>
      <c r="J138" s="20" t="s">
        <v>140</v>
      </c>
      <c r="K138" s="20" t="s">
        <v>103</v>
      </c>
    </row>
    <row r="139" spans="1:11">
      <c r="A139" s="22" t="s">
        <v>115</v>
      </c>
      <c r="B139" s="21">
        <v>1138</v>
      </c>
      <c r="C139" s="20">
        <v>8722</v>
      </c>
      <c r="D139" s="20" t="s">
        <v>105</v>
      </c>
      <c r="E139" s="25">
        <v>344</v>
      </c>
      <c r="F139" s="25">
        <v>502</v>
      </c>
      <c r="G139" s="25">
        <f t="shared" si="8"/>
        <v>158</v>
      </c>
      <c r="H139" s="20">
        <f t="shared" si="9"/>
        <v>31.6</v>
      </c>
      <c r="I139" s="20" t="s">
        <v>137</v>
      </c>
      <c r="J139" s="20" t="s">
        <v>138</v>
      </c>
      <c r="K139" s="20" t="s">
        <v>104</v>
      </c>
    </row>
    <row r="140" spans="1:11">
      <c r="A140" s="22" t="s">
        <v>115</v>
      </c>
      <c r="B140" s="21">
        <v>1139</v>
      </c>
      <c r="C140" s="20">
        <v>4421</v>
      </c>
      <c r="D140" s="20" t="s">
        <v>101</v>
      </c>
      <c r="E140" s="25">
        <v>45</v>
      </c>
      <c r="F140" s="25">
        <v>87</v>
      </c>
      <c r="G140" s="25">
        <f t="shared" si="8"/>
        <v>42</v>
      </c>
      <c r="H140" s="20">
        <f t="shared" si="9"/>
        <v>8.4</v>
      </c>
      <c r="I140" s="20" t="s">
        <v>141</v>
      </c>
      <c r="J140" s="20" t="s">
        <v>142</v>
      </c>
      <c r="K140" s="20" t="s">
        <v>103</v>
      </c>
    </row>
    <row r="141" spans="1:11">
      <c r="A141" s="22" t="s">
        <v>115</v>
      </c>
      <c r="B141" s="21">
        <v>1140</v>
      </c>
      <c r="C141" s="20">
        <v>4421</v>
      </c>
      <c r="D141" s="20" t="s">
        <v>101</v>
      </c>
      <c r="E141" s="25">
        <v>45</v>
      </c>
      <c r="F141" s="25">
        <v>87</v>
      </c>
      <c r="G141" s="25">
        <f t="shared" si="8"/>
        <v>42</v>
      </c>
      <c r="H141" s="20">
        <f t="shared" si="9"/>
        <v>8.4</v>
      </c>
      <c r="I141" s="20" t="s">
        <v>139</v>
      </c>
      <c r="J141" s="20" t="s">
        <v>140</v>
      </c>
      <c r="K141" s="20" t="s">
        <v>100</v>
      </c>
    </row>
    <row r="142" spans="1:11">
      <c r="A142" s="22" t="s">
        <v>115</v>
      </c>
      <c r="B142" s="21">
        <v>1141</v>
      </c>
      <c r="C142" s="20">
        <v>9212</v>
      </c>
      <c r="D142" s="20" t="s">
        <v>111</v>
      </c>
      <c r="E142" s="25">
        <v>4</v>
      </c>
      <c r="F142" s="25">
        <v>7</v>
      </c>
      <c r="G142" s="25">
        <f t="shared" si="8"/>
        <v>3</v>
      </c>
      <c r="H142" s="20">
        <f t="shared" si="9"/>
        <v>0.30000000000000004</v>
      </c>
      <c r="I142" s="20" t="s">
        <v>139</v>
      </c>
      <c r="J142" s="20" t="s">
        <v>140</v>
      </c>
      <c r="K142" s="20" t="s">
        <v>110</v>
      </c>
    </row>
    <row r="143" spans="1:11">
      <c r="A143" s="22" t="s">
        <v>114</v>
      </c>
      <c r="B143" s="21">
        <v>1142</v>
      </c>
      <c r="C143" s="20">
        <v>2242</v>
      </c>
      <c r="D143" s="20" t="s">
        <v>108</v>
      </c>
      <c r="E143" s="25">
        <v>60</v>
      </c>
      <c r="F143" s="25">
        <v>124</v>
      </c>
      <c r="G143" s="25">
        <f t="shared" si="8"/>
        <v>64</v>
      </c>
      <c r="H143" s="20">
        <f t="shared" si="9"/>
        <v>12.8</v>
      </c>
      <c r="I143" s="20" t="s">
        <v>139</v>
      </c>
      <c r="J143" s="20" t="s">
        <v>140</v>
      </c>
      <c r="K143" s="20" t="s">
        <v>100</v>
      </c>
    </row>
    <row r="144" spans="1:11">
      <c r="A144" s="22" t="s">
        <v>114</v>
      </c>
      <c r="B144" s="21">
        <v>1143</v>
      </c>
      <c r="C144" s="20">
        <v>9822</v>
      </c>
      <c r="D144" s="20" t="s">
        <v>106</v>
      </c>
      <c r="E144" s="25">
        <v>58.3</v>
      </c>
      <c r="F144" s="25">
        <v>98.4</v>
      </c>
      <c r="G144" s="25">
        <f t="shared" si="8"/>
        <v>40.100000000000009</v>
      </c>
      <c r="H144" s="20">
        <f t="shared" si="9"/>
        <v>8.0200000000000014</v>
      </c>
      <c r="I144" s="20" t="s">
        <v>143</v>
      </c>
      <c r="J144" s="20" t="s">
        <v>144</v>
      </c>
      <c r="K144" s="20" t="s">
        <v>110</v>
      </c>
    </row>
    <row r="145" spans="1:11">
      <c r="A145" s="22" t="s">
        <v>114</v>
      </c>
      <c r="B145" s="21">
        <v>1144</v>
      </c>
      <c r="C145" s="20">
        <v>2242</v>
      </c>
      <c r="D145" s="20" t="s">
        <v>108</v>
      </c>
      <c r="E145" s="25">
        <v>60</v>
      </c>
      <c r="F145" s="25">
        <v>124</v>
      </c>
      <c r="G145" s="25">
        <f t="shared" si="8"/>
        <v>64</v>
      </c>
      <c r="H145" s="20">
        <f t="shared" si="9"/>
        <v>12.8</v>
      </c>
      <c r="I145" s="20" t="s">
        <v>143</v>
      </c>
      <c r="J145" s="20" t="s">
        <v>144</v>
      </c>
      <c r="K145" s="20" t="s">
        <v>103</v>
      </c>
    </row>
    <row r="146" spans="1:11">
      <c r="A146" s="22" t="s">
        <v>114</v>
      </c>
      <c r="B146" s="21">
        <v>1145</v>
      </c>
      <c r="C146" s="20">
        <v>4421</v>
      </c>
      <c r="D146" s="20" t="s">
        <v>101</v>
      </c>
      <c r="E146" s="25">
        <v>45</v>
      </c>
      <c r="F146" s="25">
        <v>87</v>
      </c>
      <c r="G146" s="25">
        <f t="shared" si="8"/>
        <v>42</v>
      </c>
      <c r="H146" s="20">
        <f t="shared" si="9"/>
        <v>8.4</v>
      </c>
      <c r="I146" s="20" t="s">
        <v>143</v>
      </c>
      <c r="J146" s="20" t="s">
        <v>144</v>
      </c>
      <c r="K146" s="20" t="s">
        <v>107</v>
      </c>
    </row>
    <row r="147" spans="1:11">
      <c r="A147" s="22" t="s">
        <v>114</v>
      </c>
      <c r="B147" s="21">
        <v>1146</v>
      </c>
      <c r="C147" s="20">
        <v>8722</v>
      </c>
      <c r="D147" s="20" t="s">
        <v>105</v>
      </c>
      <c r="E147" s="25">
        <v>344</v>
      </c>
      <c r="F147" s="25">
        <v>502</v>
      </c>
      <c r="G147" s="25">
        <f t="shared" si="8"/>
        <v>158</v>
      </c>
      <c r="H147" s="20">
        <f t="shared" si="9"/>
        <v>31.6</v>
      </c>
      <c r="I147" s="20" t="s">
        <v>143</v>
      </c>
      <c r="J147" s="20" t="s">
        <v>144</v>
      </c>
      <c r="K147" s="20" t="s">
        <v>100</v>
      </c>
    </row>
    <row r="148" spans="1:11">
      <c r="A148" s="22" t="s">
        <v>114</v>
      </c>
      <c r="B148" s="21">
        <v>1147</v>
      </c>
      <c r="C148" s="20">
        <v>9822</v>
      </c>
      <c r="D148" s="20" t="s">
        <v>106</v>
      </c>
      <c r="E148" s="25">
        <v>58.3</v>
      </c>
      <c r="F148" s="25">
        <v>98.4</v>
      </c>
      <c r="G148" s="25">
        <f t="shared" si="8"/>
        <v>40.100000000000009</v>
      </c>
      <c r="H148" s="20">
        <f t="shared" si="9"/>
        <v>8.0200000000000014</v>
      </c>
      <c r="I148" s="20" t="s">
        <v>137</v>
      </c>
      <c r="J148" s="20" t="s">
        <v>138</v>
      </c>
      <c r="K148" s="20" t="s">
        <v>103</v>
      </c>
    </row>
    <row r="149" spans="1:11">
      <c r="A149" s="22" t="s">
        <v>114</v>
      </c>
      <c r="B149" s="21">
        <v>1148</v>
      </c>
      <c r="C149" s="20">
        <v>9212</v>
      </c>
      <c r="D149" s="20" t="s">
        <v>111</v>
      </c>
      <c r="E149" s="25">
        <v>4</v>
      </c>
      <c r="F149" s="25">
        <v>7</v>
      </c>
      <c r="G149" s="25">
        <f t="shared" si="8"/>
        <v>3</v>
      </c>
      <c r="H149" s="20">
        <f t="shared" si="9"/>
        <v>0.30000000000000004</v>
      </c>
      <c r="I149" s="20" t="s">
        <v>141</v>
      </c>
      <c r="J149" s="20" t="s">
        <v>142</v>
      </c>
      <c r="K149" s="20" t="s">
        <v>110</v>
      </c>
    </row>
    <row r="150" spans="1:11">
      <c r="A150" s="22" t="s">
        <v>114</v>
      </c>
      <c r="B150" s="21">
        <v>1149</v>
      </c>
      <c r="C150" s="20">
        <v>8722</v>
      </c>
      <c r="D150" s="20" t="s">
        <v>105</v>
      </c>
      <c r="E150" s="25">
        <v>344</v>
      </c>
      <c r="F150" s="25">
        <v>502</v>
      </c>
      <c r="G150" s="25">
        <f t="shared" si="8"/>
        <v>158</v>
      </c>
      <c r="H150" s="20">
        <f t="shared" si="9"/>
        <v>31.6</v>
      </c>
      <c r="I150" s="20" t="s">
        <v>137</v>
      </c>
      <c r="J150" s="20" t="s">
        <v>138</v>
      </c>
      <c r="K150" s="20" t="s">
        <v>110</v>
      </c>
    </row>
    <row r="151" spans="1:11">
      <c r="A151" s="22" t="s">
        <v>113</v>
      </c>
      <c r="B151" s="21">
        <v>1150</v>
      </c>
      <c r="C151" s="20">
        <v>2242</v>
      </c>
      <c r="D151" s="20" t="s">
        <v>108</v>
      </c>
      <c r="E151" s="25">
        <v>60</v>
      </c>
      <c r="F151" s="25">
        <v>124</v>
      </c>
      <c r="G151" s="25">
        <f t="shared" si="8"/>
        <v>64</v>
      </c>
      <c r="H151" s="20">
        <f t="shared" si="9"/>
        <v>12.8</v>
      </c>
      <c r="I151" s="20" t="s">
        <v>141</v>
      </c>
      <c r="J151" s="20" t="s">
        <v>142</v>
      </c>
      <c r="K151" s="20" t="s">
        <v>104</v>
      </c>
    </row>
    <row r="152" spans="1:11">
      <c r="A152" s="22" t="s">
        <v>113</v>
      </c>
      <c r="B152" s="21">
        <v>1151</v>
      </c>
      <c r="C152" s="20">
        <v>2242</v>
      </c>
      <c r="D152" s="20" t="s">
        <v>108</v>
      </c>
      <c r="E152" s="25">
        <v>60</v>
      </c>
      <c r="F152" s="25">
        <v>124</v>
      </c>
      <c r="G152" s="25">
        <f t="shared" si="8"/>
        <v>64</v>
      </c>
      <c r="H152" s="20">
        <f t="shared" si="9"/>
        <v>12.8</v>
      </c>
      <c r="I152" s="20" t="s">
        <v>139</v>
      </c>
      <c r="J152" s="20" t="s">
        <v>140</v>
      </c>
      <c r="K152" s="20" t="s">
        <v>103</v>
      </c>
    </row>
    <row r="153" spans="1:11">
      <c r="A153" s="22" t="s">
        <v>113</v>
      </c>
      <c r="B153" s="21">
        <v>1152</v>
      </c>
      <c r="C153" s="20">
        <v>4421</v>
      </c>
      <c r="D153" s="20" t="s">
        <v>101</v>
      </c>
      <c r="E153" s="25">
        <v>45</v>
      </c>
      <c r="F153" s="25">
        <v>87</v>
      </c>
      <c r="G153" s="25">
        <f t="shared" si="8"/>
        <v>42</v>
      </c>
      <c r="H153" s="20">
        <f t="shared" si="9"/>
        <v>8.4</v>
      </c>
      <c r="I153" s="20" t="s">
        <v>137</v>
      </c>
      <c r="J153" s="20" t="s">
        <v>138</v>
      </c>
      <c r="K153" s="20" t="s">
        <v>100</v>
      </c>
    </row>
    <row r="154" spans="1:11">
      <c r="A154" s="22" t="s">
        <v>113</v>
      </c>
      <c r="B154" s="21">
        <v>1153</v>
      </c>
      <c r="C154" s="20">
        <v>8722</v>
      </c>
      <c r="D154" s="20" t="s">
        <v>105</v>
      </c>
      <c r="E154" s="25">
        <v>344</v>
      </c>
      <c r="F154" s="25">
        <v>502</v>
      </c>
      <c r="G154" s="25">
        <f t="shared" si="8"/>
        <v>158</v>
      </c>
      <c r="H154" s="20">
        <f t="shared" si="9"/>
        <v>31.6</v>
      </c>
      <c r="I154" s="20" t="s">
        <v>141</v>
      </c>
      <c r="J154" s="20" t="s">
        <v>142</v>
      </c>
      <c r="K154" s="20" t="s">
        <v>110</v>
      </c>
    </row>
    <row r="155" spans="1:11">
      <c r="A155" s="22" t="s">
        <v>113</v>
      </c>
      <c r="B155" s="21">
        <v>1154</v>
      </c>
      <c r="C155" s="20">
        <v>9822</v>
      </c>
      <c r="D155" s="20" t="s">
        <v>106</v>
      </c>
      <c r="E155" s="25">
        <v>58.3</v>
      </c>
      <c r="F155" s="25">
        <v>98.4</v>
      </c>
      <c r="G155" s="25">
        <f t="shared" si="8"/>
        <v>40.100000000000009</v>
      </c>
      <c r="H155" s="20">
        <f t="shared" si="9"/>
        <v>8.0200000000000014</v>
      </c>
      <c r="I155" s="20" t="s">
        <v>139</v>
      </c>
      <c r="J155" s="20" t="s">
        <v>140</v>
      </c>
      <c r="K155" s="20" t="s">
        <v>100</v>
      </c>
    </row>
    <row r="156" spans="1:11">
      <c r="A156" s="22" t="s">
        <v>113</v>
      </c>
      <c r="B156" s="21">
        <v>1155</v>
      </c>
      <c r="C156" s="20">
        <v>4421</v>
      </c>
      <c r="D156" s="20" t="s">
        <v>101</v>
      </c>
      <c r="E156" s="25">
        <v>45</v>
      </c>
      <c r="F156" s="25">
        <v>87</v>
      </c>
      <c r="G156" s="25">
        <f t="shared" si="8"/>
        <v>42</v>
      </c>
      <c r="H156" s="20">
        <f t="shared" si="9"/>
        <v>8.4</v>
      </c>
      <c r="I156" s="20" t="s">
        <v>141</v>
      </c>
      <c r="J156" s="20" t="s">
        <v>142</v>
      </c>
      <c r="K156" s="20" t="s">
        <v>110</v>
      </c>
    </row>
    <row r="157" spans="1:11">
      <c r="A157" s="22" t="s">
        <v>113</v>
      </c>
      <c r="B157" s="21">
        <v>1156</v>
      </c>
      <c r="C157" s="20">
        <v>2242</v>
      </c>
      <c r="D157" s="20" t="s">
        <v>108</v>
      </c>
      <c r="E157" s="25">
        <v>60</v>
      </c>
      <c r="F157" s="25">
        <v>124</v>
      </c>
      <c r="G157" s="25">
        <f t="shared" si="8"/>
        <v>64</v>
      </c>
      <c r="H157" s="20">
        <f t="shared" si="9"/>
        <v>12.8</v>
      </c>
      <c r="I157" s="20" t="s">
        <v>141</v>
      </c>
      <c r="J157" s="20" t="s">
        <v>142</v>
      </c>
      <c r="K157" s="20" t="s">
        <v>103</v>
      </c>
    </row>
    <row r="158" spans="1:11">
      <c r="A158" s="22" t="s">
        <v>113</v>
      </c>
      <c r="B158" s="21">
        <v>1157</v>
      </c>
      <c r="C158" s="20">
        <v>9212</v>
      </c>
      <c r="D158" s="20" t="s">
        <v>111</v>
      </c>
      <c r="E158" s="25">
        <v>4</v>
      </c>
      <c r="F158" s="25">
        <v>7</v>
      </c>
      <c r="G158" s="25">
        <f t="shared" si="8"/>
        <v>3</v>
      </c>
      <c r="H158" s="20">
        <f t="shared" si="9"/>
        <v>0.30000000000000004</v>
      </c>
      <c r="I158" s="20" t="s">
        <v>141</v>
      </c>
      <c r="J158" s="20" t="s">
        <v>142</v>
      </c>
      <c r="K158" s="20" t="s">
        <v>107</v>
      </c>
    </row>
    <row r="159" spans="1:11">
      <c r="A159" s="22" t="s">
        <v>109</v>
      </c>
      <c r="B159" s="21">
        <v>1158</v>
      </c>
      <c r="C159" s="20">
        <v>8722</v>
      </c>
      <c r="D159" s="20" t="s">
        <v>105</v>
      </c>
      <c r="E159" s="25">
        <v>344</v>
      </c>
      <c r="F159" s="25">
        <v>502</v>
      </c>
      <c r="G159" s="25">
        <f t="shared" si="8"/>
        <v>158</v>
      </c>
      <c r="H159" s="20">
        <f t="shared" si="9"/>
        <v>31.6</v>
      </c>
      <c r="I159" s="20" t="s">
        <v>137</v>
      </c>
      <c r="J159" s="20" t="s">
        <v>138</v>
      </c>
      <c r="K159" s="20" t="s">
        <v>100</v>
      </c>
    </row>
    <row r="160" spans="1:11">
      <c r="A160" s="22" t="s">
        <v>109</v>
      </c>
      <c r="B160" s="21">
        <v>1159</v>
      </c>
      <c r="C160" s="20">
        <v>6622</v>
      </c>
      <c r="D160" s="20" t="s">
        <v>112</v>
      </c>
      <c r="E160" s="25">
        <v>42</v>
      </c>
      <c r="F160" s="25">
        <v>77</v>
      </c>
      <c r="G160" s="25">
        <f t="shared" si="8"/>
        <v>35</v>
      </c>
      <c r="H160" s="20">
        <f t="shared" si="9"/>
        <v>7</v>
      </c>
      <c r="I160" s="20" t="s">
        <v>141</v>
      </c>
      <c r="J160" s="20" t="s">
        <v>142</v>
      </c>
      <c r="K160" s="20" t="s">
        <v>103</v>
      </c>
    </row>
    <row r="161" spans="1:11">
      <c r="A161" s="22" t="s">
        <v>109</v>
      </c>
      <c r="B161" s="21">
        <v>1160</v>
      </c>
      <c r="C161" s="20">
        <v>9822</v>
      </c>
      <c r="D161" s="20" t="s">
        <v>106</v>
      </c>
      <c r="E161" s="25">
        <v>58.3</v>
      </c>
      <c r="F161" s="25">
        <v>98.4</v>
      </c>
      <c r="G161" s="25">
        <f t="shared" si="8"/>
        <v>40.100000000000009</v>
      </c>
      <c r="H161" s="20">
        <f t="shared" si="9"/>
        <v>8.0200000000000014</v>
      </c>
      <c r="I161" s="20" t="s">
        <v>143</v>
      </c>
      <c r="J161" s="20" t="s">
        <v>144</v>
      </c>
      <c r="K161" s="20" t="s">
        <v>100</v>
      </c>
    </row>
    <row r="162" spans="1:11">
      <c r="A162" s="22" t="s">
        <v>109</v>
      </c>
      <c r="B162" s="21">
        <v>1161</v>
      </c>
      <c r="C162" s="20">
        <v>4421</v>
      </c>
      <c r="D162" s="20" t="s">
        <v>101</v>
      </c>
      <c r="E162" s="25">
        <v>45</v>
      </c>
      <c r="F162" s="25">
        <v>87</v>
      </c>
      <c r="G162" s="25">
        <f t="shared" ref="G162:G193" si="10">F162-E162</f>
        <v>42</v>
      </c>
      <c r="H162" s="20">
        <f t="shared" ref="H162:H193" si="11">IF(F162&gt;50,G162*0.2,G162*0.1)</f>
        <v>8.4</v>
      </c>
      <c r="I162" s="20" t="s">
        <v>139</v>
      </c>
      <c r="J162" s="20" t="s">
        <v>140</v>
      </c>
      <c r="K162" s="20" t="s">
        <v>103</v>
      </c>
    </row>
    <row r="163" spans="1:11">
      <c r="A163" s="22" t="s">
        <v>109</v>
      </c>
      <c r="B163" s="21">
        <v>1162</v>
      </c>
      <c r="C163" s="20">
        <v>9212</v>
      </c>
      <c r="D163" s="20" t="s">
        <v>111</v>
      </c>
      <c r="E163" s="25">
        <v>4</v>
      </c>
      <c r="F163" s="25">
        <v>7</v>
      </c>
      <c r="G163" s="25">
        <f t="shared" si="10"/>
        <v>3</v>
      </c>
      <c r="H163" s="20">
        <f t="shared" si="11"/>
        <v>0.30000000000000004</v>
      </c>
      <c r="I163" s="20" t="s">
        <v>137</v>
      </c>
      <c r="J163" s="20" t="s">
        <v>138</v>
      </c>
      <c r="K163" s="20" t="s">
        <v>110</v>
      </c>
    </row>
    <row r="164" spans="1:11">
      <c r="A164" s="22" t="s">
        <v>109</v>
      </c>
      <c r="B164" s="21">
        <v>1163</v>
      </c>
      <c r="C164" s="20">
        <v>9212</v>
      </c>
      <c r="D164" s="20" t="s">
        <v>111</v>
      </c>
      <c r="E164" s="25">
        <v>4</v>
      </c>
      <c r="F164" s="25">
        <v>7</v>
      </c>
      <c r="G164" s="25">
        <f t="shared" si="10"/>
        <v>3</v>
      </c>
      <c r="H164" s="20">
        <f t="shared" si="11"/>
        <v>0.30000000000000004</v>
      </c>
      <c r="I164" s="20" t="s">
        <v>141</v>
      </c>
      <c r="J164" s="20" t="s">
        <v>142</v>
      </c>
      <c r="K164" s="20" t="s">
        <v>103</v>
      </c>
    </row>
    <row r="165" spans="1:11">
      <c r="A165" s="22" t="s">
        <v>109</v>
      </c>
      <c r="B165" s="21">
        <v>1164</v>
      </c>
      <c r="C165" s="20">
        <v>9822</v>
      </c>
      <c r="D165" s="20" t="s">
        <v>106</v>
      </c>
      <c r="E165" s="25">
        <v>58.3</v>
      </c>
      <c r="F165" s="25">
        <v>98.4</v>
      </c>
      <c r="G165" s="25">
        <f t="shared" si="10"/>
        <v>40.100000000000009</v>
      </c>
      <c r="H165" s="20">
        <f t="shared" si="11"/>
        <v>8.0200000000000014</v>
      </c>
      <c r="I165" s="20" t="s">
        <v>141</v>
      </c>
      <c r="J165" s="20" t="s">
        <v>142</v>
      </c>
      <c r="K165" s="20" t="s">
        <v>110</v>
      </c>
    </row>
    <row r="166" spans="1:11">
      <c r="A166" s="22" t="s">
        <v>109</v>
      </c>
      <c r="B166" s="21">
        <v>1165</v>
      </c>
      <c r="C166" s="20">
        <v>9822</v>
      </c>
      <c r="D166" s="20" t="s">
        <v>106</v>
      </c>
      <c r="E166" s="25">
        <v>58.3</v>
      </c>
      <c r="F166" s="25">
        <v>98.4</v>
      </c>
      <c r="G166" s="25">
        <f t="shared" si="10"/>
        <v>40.100000000000009</v>
      </c>
      <c r="H166" s="20">
        <f t="shared" si="11"/>
        <v>8.0200000000000014</v>
      </c>
      <c r="I166" s="20" t="s">
        <v>141</v>
      </c>
      <c r="J166" s="20" t="s">
        <v>142</v>
      </c>
      <c r="K166" s="20" t="s">
        <v>110</v>
      </c>
    </row>
    <row r="167" spans="1:11">
      <c r="A167" s="22" t="s">
        <v>109</v>
      </c>
      <c r="B167" s="21">
        <v>1166</v>
      </c>
      <c r="C167" s="20">
        <v>8722</v>
      </c>
      <c r="D167" s="20" t="s">
        <v>105</v>
      </c>
      <c r="E167" s="25">
        <v>344</v>
      </c>
      <c r="F167" s="25">
        <v>502</v>
      </c>
      <c r="G167" s="25">
        <f t="shared" si="10"/>
        <v>158</v>
      </c>
      <c r="H167" s="20">
        <f t="shared" si="11"/>
        <v>31.6</v>
      </c>
      <c r="I167" s="20" t="s">
        <v>141</v>
      </c>
      <c r="J167" s="20" t="s">
        <v>142</v>
      </c>
      <c r="K167" s="20" t="s">
        <v>100</v>
      </c>
    </row>
    <row r="168" spans="1:11">
      <c r="A168" s="22" t="s">
        <v>102</v>
      </c>
      <c r="B168" s="21">
        <v>1167</v>
      </c>
      <c r="C168" s="20">
        <v>2242</v>
      </c>
      <c r="D168" s="20" t="s">
        <v>108</v>
      </c>
      <c r="E168" s="25">
        <v>60</v>
      </c>
      <c r="F168" s="25">
        <v>124</v>
      </c>
      <c r="G168" s="25">
        <f t="shared" si="10"/>
        <v>64</v>
      </c>
      <c r="H168" s="20">
        <f t="shared" si="11"/>
        <v>12.8</v>
      </c>
      <c r="I168" s="20" t="s">
        <v>141</v>
      </c>
      <c r="J168" s="20" t="s">
        <v>142</v>
      </c>
      <c r="K168" s="20" t="s">
        <v>107</v>
      </c>
    </row>
    <row r="169" spans="1:11">
      <c r="A169" s="22" t="s">
        <v>102</v>
      </c>
      <c r="B169" s="21">
        <v>1168</v>
      </c>
      <c r="C169" s="20">
        <v>9822</v>
      </c>
      <c r="D169" s="20" t="s">
        <v>106</v>
      </c>
      <c r="E169" s="25">
        <v>58.3</v>
      </c>
      <c r="F169" s="25">
        <v>98.4</v>
      </c>
      <c r="G169" s="25">
        <f t="shared" si="10"/>
        <v>40.100000000000009</v>
      </c>
      <c r="H169" s="20">
        <f t="shared" si="11"/>
        <v>8.0200000000000014</v>
      </c>
      <c r="I169" s="20" t="s">
        <v>141</v>
      </c>
      <c r="J169" s="20" t="s">
        <v>142</v>
      </c>
      <c r="K169" s="20" t="s">
        <v>103</v>
      </c>
    </row>
    <row r="170" spans="1:11">
      <c r="A170" s="22" t="s">
        <v>102</v>
      </c>
      <c r="B170" s="21">
        <v>1169</v>
      </c>
      <c r="C170" s="20">
        <v>8722</v>
      </c>
      <c r="D170" s="20" t="s">
        <v>105</v>
      </c>
      <c r="E170" s="25">
        <v>344</v>
      </c>
      <c r="F170" s="25">
        <v>502</v>
      </c>
      <c r="G170" s="25">
        <f t="shared" si="10"/>
        <v>158</v>
      </c>
      <c r="H170" s="20">
        <f t="shared" si="11"/>
        <v>31.6</v>
      </c>
      <c r="I170" s="20" t="s">
        <v>141</v>
      </c>
      <c r="J170" s="20" t="s">
        <v>142</v>
      </c>
      <c r="K170" s="20" t="s">
        <v>104</v>
      </c>
    </row>
    <row r="171" spans="1:11">
      <c r="A171" s="22" t="s">
        <v>102</v>
      </c>
      <c r="B171" s="21">
        <v>1170</v>
      </c>
      <c r="C171" s="20">
        <v>4421</v>
      </c>
      <c r="D171" s="20" t="s">
        <v>101</v>
      </c>
      <c r="E171" s="25">
        <v>45</v>
      </c>
      <c r="F171" s="25">
        <v>87</v>
      </c>
      <c r="G171" s="25">
        <f t="shared" si="10"/>
        <v>42</v>
      </c>
      <c r="H171" s="20">
        <f t="shared" si="11"/>
        <v>8.4</v>
      </c>
      <c r="I171" s="20" t="s">
        <v>137</v>
      </c>
      <c r="J171" s="20" t="s">
        <v>138</v>
      </c>
      <c r="K171" s="20" t="s">
        <v>103</v>
      </c>
    </row>
    <row r="172" spans="1:11">
      <c r="A172" s="22" t="s">
        <v>102</v>
      </c>
      <c r="B172" s="21">
        <v>1171</v>
      </c>
      <c r="C172" s="20">
        <v>4421</v>
      </c>
      <c r="D172" s="20" t="s">
        <v>101</v>
      </c>
      <c r="E172" s="25">
        <v>45</v>
      </c>
      <c r="F172" s="25">
        <v>87</v>
      </c>
      <c r="G172" s="25">
        <f t="shared" si="10"/>
        <v>42</v>
      </c>
      <c r="H172" s="20">
        <f t="shared" si="11"/>
        <v>8.4</v>
      </c>
      <c r="I172" s="20" t="s">
        <v>139</v>
      </c>
      <c r="J172" s="20" t="s">
        <v>140</v>
      </c>
      <c r="K172" s="20" t="s">
        <v>100</v>
      </c>
    </row>
    <row r="174" spans="1:11">
      <c r="A174" s="20" t="s">
        <v>145</v>
      </c>
      <c r="F174" s="25">
        <f>SUM(F2:F172)</f>
        <v>17110.599999999995</v>
      </c>
    </row>
    <row r="175" spans="1:11">
      <c r="A175" s="20" t="s">
        <v>146</v>
      </c>
      <c r="F175" s="25">
        <f>SUMIF(F2:F172,"&gt;50")</f>
        <v>16088.399999999994</v>
      </c>
    </row>
    <row r="176" spans="1:11">
      <c r="A176" s="20" t="s">
        <v>147</v>
      </c>
      <c r="F176" s="25">
        <f>SUMIF(F2:F172,"&lt;50")</f>
        <v>1022.1999999999997</v>
      </c>
    </row>
  </sheetData>
  <autoFilter ref="A1:K176" xr:uid="{6604F542-0AF8-499C-97EC-F9924A00984A}"/>
  <sortState xmlns:xlrd2="http://schemas.microsoft.com/office/spreadsheetml/2017/richdata2" ref="A2:K172">
    <sortCondition ref="B2:B172"/>
  </sortState>
  <dataConsolidate topLabels="1">
    <dataRefs count="1">
      <dataRef ref="A2:G59" sheet="Sheet1" r:id="rId1"/>
    </dataRefs>
  </dataConsolidate>
  <pageMargins left="0.75" right="0.75" top="1" bottom="1" header="0.5" footer="0.5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75C1-61A7-465E-B960-AF5D44796985}">
  <dimension ref="A3:B8"/>
  <sheetViews>
    <sheetView topLeftCell="A7" workbookViewId="0">
      <selection activeCell="K24" sqref="K24"/>
    </sheetView>
  </sheetViews>
  <sheetFormatPr defaultRowHeight="14.4"/>
  <cols>
    <col min="1" max="1" width="12.5546875" bestFit="1" customWidth="1"/>
    <col min="2" max="2" width="15.5546875" bestFit="1" customWidth="1"/>
  </cols>
  <sheetData>
    <row r="3" spans="1:2">
      <c r="A3" s="26" t="s">
        <v>148</v>
      </c>
      <c r="B3" t="s">
        <v>150</v>
      </c>
    </row>
    <row r="4" spans="1:2">
      <c r="A4" s="27" t="s">
        <v>138</v>
      </c>
      <c r="B4" s="4">
        <v>6003.5</v>
      </c>
    </row>
    <row r="5" spans="1:2">
      <c r="A5" s="27" t="s">
        <v>140</v>
      </c>
      <c r="B5" s="4">
        <v>2410.7000000000003</v>
      </c>
    </row>
    <row r="6" spans="1:2">
      <c r="A6" s="27" t="s">
        <v>144</v>
      </c>
      <c r="B6" s="4">
        <v>3035.3</v>
      </c>
    </row>
    <row r="7" spans="1:2">
      <c r="A7" s="27" t="s">
        <v>142</v>
      </c>
      <c r="B7" s="4">
        <v>5661.0999999999985</v>
      </c>
    </row>
    <row r="8" spans="1:2">
      <c r="A8" s="27" t="s">
        <v>149</v>
      </c>
      <c r="B8" s="4">
        <v>17110.599999999999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EBB0-7043-446B-83CB-4AD4A2B331D3}">
  <sheetPr>
    <pageSetUpPr fitToPage="1"/>
  </sheetPr>
  <dimension ref="A1:N67"/>
  <sheetViews>
    <sheetView zoomScale="85" zoomScaleNormal="85" workbookViewId="0">
      <selection activeCell="C2" sqref="C2"/>
    </sheetView>
  </sheetViews>
  <sheetFormatPr defaultRowHeight="14.4"/>
  <cols>
    <col min="1" max="1" width="12.77734375" customWidth="1"/>
    <col min="3" max="3" width="13.33203125" customWidth="1"/>
    <col min="4" max="4" width="10" customWidth="1"/>
    <col min="5" max="5" width="9" customWidth="1"/>
    <col min="8" max="8" width="11.33203125" style="30" bestFit="1" customWidth="1"/>
    <col min="9" max="9" width="13.77734375" style="30" customWidth="1"/>
    <col min="12" max="12" width="11.6640625" customWidth="1"/>
    <col min="13" max="13" width="11.5546875" customWidth="1"/>
    <col min="14" max="14" width="18.109375" customWidth="1"/>
  </cols>
  <sheetData>
    <row r="1" spans="1:14" s="28" customFormat="1" ht="55.8" customHeight="1">
      <c r="A1" s="28" t="s">
        <v>151</v>
      </c>
      <c r="B1" s="28" t="s">
        <v>152</v>
      </c>
      <c r="C1" s="28" t="s">
        <v>153</v>
      </c>
      <c r="D1" s="28" t="s">
        <v>154</v>
      </c>
      <c r="E1" s="28" t="s">
        <v>155</v>
      </c>
      <c r="F1" s="28" t="s">
        <v>156</v>
      </c>
      <c r="G1" s="28" t="s">
        <v>157</v>
      </c>
      <c r="H1" s="29" t="s">
        <v>158</v>
      </c>
      <c r="I1" s="29" t="s">
        <v>159</v>
      </c>
      <c r="J1" s="28" t="s">
        <v>160</v>
      </c>
      <c r="K1" s="28" t="s">
        <v>161</v>
      </c>
      <c r="L1" s="28" t="s">
        <v>162</v>
      </c>
      <c r="M1" s="28" t="s">
        <v>163</v>
      </c>
      <c r="N1" s="28" t="s">
        <v>164</v>
      </c>
    </row>
    <row r="2" spans="1:14">
      <c r="A2" t="s">
        <v>165</v>
      </c>
      <c r="B2" t="str">
        <f>LEFT(A2,2)</f>
        <v>TY</v>
      </c>
      <c r="C2" t="str">
        <f>VLOOKUP(B2,B$57:C60,2)</f>
        <v>Honda</v>
      </c>
      <c r="D2" t="str">
        <f>MID(A2,5,3)</f>
        <v>CAM</v>
      </c>
      <c r="E2" t="str">
        <f t="shared" ref="E2:E20" si="0">VLOOKUP(D2,D$57:E$67,2)</f>
        <v>Camrey</v>
      </c>
      <c r="F2" t="str">
        <f>MID(A2,3,2)</f>
        <v>96</v>
      </c>
      <c r="G2">
        <f t="shared" ref="G2:G53" si="1">IF(26-F2&lt;0,100-F2+26,26-F2)</f>
        <v>30</v>
      </c>
      <c r="H2" s="30">
        <v>114660.6</v>
      </c>
      <c r="I2" s="30">
        <f t="shared" ref="I2:I53" si="2">H2/(G2+0.5)</f>
        <v>3759.3639344262297</v>
      </c>
      <c r="J2" t="s">
        <v>166</v>
      </c>
      <c r="K2" t="s">
        <v>167</v>
      </c>
      <c r="L2">
        <v>100000</v>
      </c>
      <c r="M2" t="str">
        <f>IF(H2&lt;=L2,"Y","Not Covered")</f>
        <v>Not Covered</v>
      </c>
      <c r="N2" t="str">
        <f>CONCATENATE(B2,F2,D2,UPPER(LEFT(J2,3)),RIGHT(A2,3))</f>
        <v>TY96CAMGRE020</v>
      </c>
    </row>
    <row r="3" spans="1:14">
      <c r="A3" t="s">
        <v>168</v>
      </c>
      <c r="B3" t="str">
        <f t="shared" ref="B2:B53" si="3">LEFT(A3,2)</f>
        <v>TY</v>
      </c>
      <c r="C3" t="str">
        <f>VLOOKUP(B3,B$57:C61,2)</f>
        <v>Hundai</v>
      </c>
      <c r="D3" t="str">
        <f t="shared" ref="D2:D53" si="4">MID(A3,5,3)</f>
        <v>CAM</v>
      </c>
      <c r="E3" t="str">
        <f t="shared" si="0"/>
        <v>Camrey</v>
      </c>
      <c r="F3" t="str">
        <f t="shared" ref="F2:F53" si="5">MID(A3,3,2)</f>
        <v>98</v>
      </c>
      <c r="G3">
        <f t="shared" si="1"/>
        <v>28</v>
      </c>
      <c r="H3" s="30">
        <v>93382.6</v>
      </c>
      <c r="I3" s="30">
        <f t="shared" si="2"/>
        <v>3276.582456140351</v>
      </c>
      <c r="J3" t="s">
        <v>169</v>
      </c>
      <c r="K3" t="s">
        <v>170</v>
      </c>
      <c r="L3">
        <v>100000</v>
      </c>
      <c r="M3" t="str">
        <f t="shared" ref="M2:M53" si="6">IF(H3&lt;=L3,"Y","Not Covered")</f>
        <v>Y</v>
      </c>
      <c r="N3" t="str">
        <f t="shared" ref="N2:N53" si="7">CONCATENATE(B3,F3,D3,UPPER(LEFT(J3,3)),RIGHT(A3,3))</f>
        <v>TY98CAMBLA021</v>
      </c>
    </row>
    <row r="4" spans="1:14">
      <c r="A4" t="s">
        <v>171</v>
      </c>
      <c r="B4" t="str">
        <f t="shared" si="3"/>
        <v>TY</v>
      </c>
      <c r="C4" t="str">
        <f>VLOOKUP(B4,B$57:C62,2)</f>
        <v>Toyota</v>
      </c>
      <c r="D4" t="str">
        <f t="shared" si="4"/>
        <v>CAM</v>
      </c>
      <c r="E4" t="str">
        <f t="shared" si="0"/>
        <v>Camrey</v>
      </c>
      <c r="F4" t="str">
        <f t="shared" si="5"/>
        <v>00</v>
      </c>
      <c r="G4">
        <f t="shared" si="1"/>
        <v>26</v>
      </c>
      <c r="H4" s="30">
        <v>85928</v>
      </c>
      <c r="I4" s="30">
        <f t="shared" si="2"/>
        <v>3242.566037735849</v>
      </c>
      <c r="J4" t="s">
        <v>166</v>
      </c>
      <c r="K4" t="s">
        <v>172</v>
      </c>
      <c r="L4">
        <v>100000</v>
      </c>
      <c r="M4" t="str">
        <f t="shared" si="6"/>
        <v>Y</v>
      </c>
      <c r="N4" t="str">
        <f t="shared" si="7"/>
        <v>TY00CAMGRE022</v>
      </c>
    </row>
    <row r="5" spans="1:14">
      <c r="A5" t="s">
        <v>173</v>
      </c>
      <c r="B5" t="str">
        <f t="shared" si="3"/>
        <v>CR</v>
      </c>
      <c r="C5" t="str">
        <f>VLOOKUP(B5,B$57:C63,2)</f>
        <v>Chrysler</v>
      </c>
      <c r="D5" t="str">
        <f t="shared" si="4"/>
        <v>CAR</v>
      </c>
      <c r="E5" t="str">
        <f t="shared" si="0"/>
        <v>Caravan</v>
      </c>
      <c r="F5" t="str">
        <f t="shared" si="5"/>
        <v>04</v>
      </c>
      <c r="G5">
        <f t="shared" si="1"/>
        <v>22</v>
      </c>
      <c r="H5" s="30">
        <v>72527.199999999997</v>
      </c>
      <c r="I5" s="30">
        <f t="shared" si="2"/>
        <v>3223.431111111111</v>
      </c>
      <c r="J5" t="s">
        <v>174</v>
      </c>
      <c r="K5" t="s">
        <v>175</v>
      </c>
      <c r="L5">
        <v>75000</v>
      </c>
      <c r="M5" t="str">
        <f t="shared" si="6"/>
        <v>Y</v>
      </c>
      <c r="N5" t="str">
        <f t="shared" si="7"/>
        <v>CR04CARWHI047</v>
      </c>
    </row>
    <row r="6" spans="1:14">
      <c r="A6" t="s">
        <v>176</v>
      </c>
      <c r="B6" t="str">
        <f t="shared" si="3"/>
        <v>TY</v>
      </c>
      <c r="C6" t="str">
        <f>VLOOKUP(B6,B$57:C64,2)</f>
        <v>Toyota</v>
      </c>
      <c r="D6" t="str">
        <f t="shared" si="4"/>
        <v>COR</v>
      </c>
      <c r="E6" t="str">
        <f t="shared" si="0"/>
        <v>Corola</v>
      </c>
      <c r="F6" t="str">
        <f t="shared" si="5"/>
        <v>03</v>
      </c>
      <c r="G6">
        <f t="shared" si="1"/>
        <v>23</v>
      </c>
      <c r="H6" s="30">
        <v>73444.399999999994</v>
      </c>
      <c r="I6" s="30">
        <f t="shared" si="2"/>
        <v>3125.2936170212765</v>
      </c>
      <c r="J6" t="s">
        <v>169</v>
      </c>
      <c r="K6" t="s">
        <v>177</v>
      </c>
      <c r="L6">
        <v>100000</v>
      </c>
      <c r="M6" t="str">
        <f t="shared" si="6"/>
        <v>Y</v>
      </c>
      <c r="N6" t="str">
        <f t="shared" si="7"/>
        <v>TY03CORBLA026</v>
      </c>
    </row>
    <row r="7" spans="1:14">
      <c r="A7" t="s">
        <v>178</v>
      </c>
      <c r="B7" t="str">
        <f t="shared" si="3"/>
        <v>GM</v>
      </c>
      <c r="C7" t="str">
        <f>VLOOKUP(B7,B$57:C65,2)</f>
        <v>General Motors</v>
      </c>
      <c r="D7" t="str">
        <f t="shared" si="4"/>
        <v>SLV</v>
      </c>
      <c r="E7" t="str">
        <f t="shared" si="0"/>
        <v>Silverado</v>
      </c>
      <c r="F7" t="str">
        <f t="shared" si="5"/>
        <v>00</v>
      </c>
      <c r="G7">
        <f t="shared" si="1"/>
        <v>26</v>
      </c>
      <c r="H7" s="30">
        <v>80685.8</v>
      </c>
      <c r="I7" s="30">
        <f t="shared" si="2"/>
        <v>3044.7471698113209</v>
      </c>
      <c r="J7" t="s">
        <v>179</v>
      </c>
      <c r="K7" t="s">
        <v>180</v>
      </c>
      <c r="L7">
        <v>100000</v>
      </c>
      <c r="M7" t="str">
        <f t="shared" si="6"/>
        <v>Y</v>
      </c>
      <c r="N7" t="str">
        <f t="shared" si="7"/>
        <v>GM00SLVBLU019</v>
      </c>
    </row>
    <row r="8" spans="1:14">
      <c r="A8" t="s">
        <v>181</v>
      </c>
      <c r="B8" t="str">
        <f t="shared" si="3"/>
        <v>HO</v>
      </c>
      <c r="C8" t="str">
        <f>VLOOKUP(B8,B$57:C66,2)</f>
        <v>Honda</v>
      </c>
      <c r="D8" t="str">
        <f t="shared" si="4"/>
        <v>CIV</v>
      </c>
      <c r="E8" t="str">
        <f t="shared" si="0"/>
        <v>Civic</v>
      </c>
      <c r="F8" t="str">
        <f t="shared" si="5"/>
        <v>99</v>
      </c>
      <c r="G8">
        <f t="shared" si="1"/>
        <v>27</v>
      </c>
      <c r="H8" s="30">
        <v>82374</v>
      </c>
      <c r="I8" s="30">
        <f t="shared" si="2"/>
        <v>2995.4181818181819</v>
      </c>
      <c r="J8" t="s">
        <v>174</v>
      </c>
      <c r="K8" t="s">
        <v>182</v>
      </c>
      <c r="L8">
        <v>75000</v>
      </c>
      <c r="M8" t="str">
        <f t="shared" si="6"/>
        <v>Not Covered</v>
      </c>
      <c r="N8" t="str">
        <f t="shared" si="7"/>
        <v>HO99CIVWHI030</v>
      </c>
    </row>
    <row r="9" spans="1:14">
      <c r="A9" t="s">
        <v>183</v>
      </c>
      <c r="B9" t="str">
        <f t="shared" si="3"/>
        <v>GM</v>
      </c>
      <c r="C9" t="str">
        <f>VLOOKUP(B9,B$57:C67,2)</f>
        <v>General Motors</v>
      </c>
      <c r="D9" t="str">
        <f t="shared" si="4"/>
        <v>SLV</v>
      </c>
      <c r="E9" t="str">
        <f t="shared" si="0"/>
        <v>Silverado</v>
      </c>
      <c r="F9" t="str">
        <f t="shared" si="5"/>
        <v>98</v>
      </c>
      <c r="G9">
        <f t="shared" si="1"/>
        <v>28</v>
      </c>
      <c r="H9" s="30">
        <v>83162.7</v>
      </c>
      <c r="I9" s="30">
        <f t="shared" si="2"/>
        <v>2917.9894736842102</v>
      </c>
      <c r="J9" t="s">
        <v>169</v>
      </c>
      <c r="K9" t="s">
        <v>184</v>
      </c>
      <c r="L9">
        <v>100000</v>
      </c>
      <c r="M9" t="str">
        <f t="shared" si="6"/>
        <v>Y</v>
      </c>
      <c r="N9" t="str">
        <f t="shared" si="7"/>
        <v>GM98SLVBLA018</v>
      </c>
    </row>
    <row r="10" spans="1:14">
      <c r="A10" t="s">
        <v>185</v>
      </c>
      <c r="B10" t="str">
        <f t="shared" si="3"/>
        <v>CR</v>
      </c>
      <c r="C10" t="str">
        <f>VLOOKUP(B10,B$57:C68,2)</f>
        <v>Chrysler</v>
      </c>
      <c r="D10" t="str">
        <f t="shared" si="4"/>
        <v>CAR</v>
      </c>
      <c r="E10" t="str">
        <f t="shared" si="0"/>
        <v>Caravan</v>
      </c>
      <c r="F10" t="str">
        <f t="shared" si="5"/>
        <v>00</v>
      </c>
      <c r="G10">
        <f t="shared" si="1"/>
        <v>26</v>
      </c>
      <c r="H10" s="30">
        <v>77243.100000000006</v>
      </c>
      <c r="I10" s="30">
        <f t="shared" si="2"/>
        <v>2914.8339622641511</v>
      </c>
      <c r="J10" t="s">
        <v>169</v>
      </c>
      <c r="K10" t="s">
        <v>186</v>
      </c>
      <c r="L10">
        <v>75000</v>
      </c>
      <c r="M10" t="str">
        <f t="shared" si="6"/>
        <v>Not Covered</v>
      </c>
      <c r="N10" t="str">
        <f t="shared" si="7"/>
        <v>CR00CARBLA046</v>
      </c>
    </row>
    <row r="11" spans="1:14">
      <c r="A11" t="s">
        <v>187</v>
      </c>
      <c r="B11" t="str">
        <f t="shared" si="3"/>
        <v>CR</v>
      </c>
      <c r="C11" t="str">
        <f>VLOOKUP(B11,B$57:C69,2)</f>
        <v>Chrysler</v>
      </c>
      <c r="D11" t="str">
        <f t="shared" si="4"/>
        <v>CAR</v>
      </c>
      <c r="E11" t="str">
        <f t="shared" si="0"/>
        <v>Caravan</v>
      </c>
      <c r="F11" t="str">
        <f t="shared" si="5"/>
        <v>99</v>
      </c>
      <c r="G11">
        <f t="shared" si="1"/>
        <v>27</v>
      </c>
      <c r="H11" s="30">
        <v>79420.600000000006</v>
      </c>
      <c r="I11" s="30">
        <f t="shared" si="2"/>
        <v>2888.0218181818186</v>
      </c>
      <c r="J11" t="s">
        <v>166</v>
      </c>
      <c r="K11" t="s">
        <v>188</v>
      </c>
      <c r="L11">
        <v>75000</v>
      </c>
      <c r="M11" t="str">
        <f t="shared" si="6"/>
        <v>Not Covered</v>
      </c>
      <c r="N11" t="str">
        <f t="shared" si="7"/>
        <v>CR99CARGRE045</v>
      </c>
    </row>
    <row r="12" spans="1:14">
      <c r="A12" t="s">
        <v>189</v>
      </c>
      <c r="B12" t="str">
        <f t="shared" si="3"/>
        <v>CR</v>
      </c>
      <c r="C12" t="str">
        <f>VLOOKUP(B12,B$57:C70,2)</f>
        <v>Chrysler</v>
      </c>
      <c r="D12" t="str">
        <f t="shared" si="4"/>
        <v>PTC</v>
      </c>
      <c r="E12" t="str">
        <f t="shared" si="0"/>
        <v>PT Cruiser</v>
      </c>
      <c r="F12" t="str">
        <f t="shared" si="5"/>
        <v>04</v>
      </c>
      <c r="G12">
        <f t="shared" si="1"/>
        <v>22</v>
      </c>
      <c r="H12" s="30">
        <v>64542</v>
      </c>
      <c r="I12" s="30">
        <f t="shared" si="2"/>
        <v>2868.5333333333333</v>
      </c>
      <c r="J12" t="s">
        <v>179</v>
      </c>
      <c r="K12" t="s">
        <v>142</v>
      </c>
      <c r="L12">
        <v>75000</v>
      </c>
      <c r="M12" t="str">
        <f t="shared" si="6"/>
        <v>Y</v>
      </c>
      <c r="N12" t="str">
        <f t="shared" si="7"/>
        <v>CR04PTCBLU042</v>
      </c>
    </row>
    <row r="13" spans="1:14">
      <c r="A13" t="s">
        <v>190</v>
      </c>
      <c r="B13" t="str">
        <f t="shared" si="3"/>
        <v>HO</v>
      </c>
      <c r="C13" t="str">
        <f>VLOOKUP(B13,B$57:C71,2)</f>
        <v>Honda</v>
      </c>
      <c r="D13" t="str">
        <f t="shared" si="4"/>
        <v>ODY</v>
      </c>
      <c r="E13" t="str">
        <f t="shared" si="0"/>
        <v>Odyssey</v>
      </c>
      <c r="F13" t="str">
        <f t="shared" si="5"/>
        <v>05</v>
      </c>
      <c r="G13">
        <f t="shared" si="1"/>
        <v>21</v>
      </c>
      <c r="H13" s="30">
        <v>60389.5</v>
      </c>
      <c r="I13" s="30">
        <f t="shared" si="2"/>
        <v>2808.8139534883721</v>
      </c>
      <c r="J13" t="s">
        <v>174</v>
      </c>
      <c r="K13" t="s">
        <v>191</v>
      </c>
      <c r="L13">
        <v>100000</v>
      </c>
      <c r="M13" t="str">
        <f t="shared" si="6"/>
        <v>Y</v>
      </c>
      <c r="N13" t="str">
        <f t="shared" si="7"/>
        <v>HO05ODYWHI037</v>
      </c>
    </row>
    <row r="14" spans="1:14">
      <c r="A14" t="s">
        <v>192</v>
      </c>
      <c r="B14" t="str">
        <f t="shared" si="3"/>
        <v>TY</v>
      </c>
      <c r="C14" t="str">
        <f>VLOOKUP(B14,B$57:C72,2)</f>
        <v>Toyota</v>
      </c>
      <c r="D14" t="str">
        <f t="shared" si="4"/>
        <v>CAM</v>
      </c>
      <c r="E14" t="str">
        <f t="shared" si="0"/>
        <v>Camrey</v>
      </c>
      <c r="F14" t="str">
        <f t="shared" si="5"/>
        <v>02</v>
      </c>
      <c r="G14">
        <f t="shared" si="1"/>
        <v>24</v>
      </c>
      <c r="H14" s="30">
        <v>67829.100000000006</v>
      </c>
      <c r="I14" s="30">
        <f t="shared" si="2"/>
        <v>2768.534693877551</v>
      </c>
      <c r="J14" t="s">
        <v>169</v>
      </c>
      <c r="K14" t="s">
        <v>142</v>
      </c>
      <c r="L14">
        <v>100000</v>
      </c>
      <c r="M14" t="str">
        <f t="shared" si="6"/>
        <v>Y</v>
      </c>
      <c r="N14" t="str">
        <f t="shared" si="7"/>
        <v>TY02CAMBLA023</v>
      </c>
    </row>
    <row r="15" spans="1:14">
      <c r="A15" t="s">
        <v>193</v>
      </c>
      <c r="B15" t="str">
        <f t="shared" si="3"/>
        <v>TY</v>
      </c>
      <c r="C15" t="str">
        <f>VLOOKUP(B15,B$57:C73,2)</f>
        <v>Toyota</v>
      </c>
      <c r="D15" t="str">
        <f t="shared" si="4"/>
        <v>CAM</v>
      </c>
      <c r="E15" t="str">
        <f t="shared" si="0"/>
        <v>Camrey</v>
      </c>
      <c r="F15" t="str">
        <f t="shared" si="5"/>
        <v>09</v>
      </c>
      <c r="G15">
        <f t="shared" si="1"/>
        <v>17</v>
      </c>
      <c r="H15" s="30">
        <v>48114.2</v>
      </c>
      <c r="I15" s="30">
        <f t="shared" si="2"/>
        <v>2749.3828571428571</v>
      </c>
      <c r="J15" t="s">
        <v>174</v>
      </c>
      <c r="K15" t="s">
        <v>191</v>
      </c>
      <c r="L15">
        <v>100000</v>
      </c>
      <c r="M15" t="str">
        <f t="shared" si="6"/>
        <v>Y</v>
      </c>
      <c r="N15" t="str">
        <f t="shared" si="7"/>
        <v>TY09CAMWHI024</v>
      </c>
    </row>
    <row r="16" spans="1:14">
      <c r="A16" t="s">
        <v>194</v>
      </c>
      <c r="B16" t="str">
        <f t="shared" si="3"/>
        <v>HO</v>
      </c>
      <c r="C16" t="str">
        <f>VLOOKUP(B16,B$57:C74,2)</f>
        <v>Honda</v>
      </c>
      <c r="D16" t="str">
        <f t="shared" si="4"/>
        <v>CIV</v>
      </c>
      <c r="E16" t="str">
        <f t="shared" si="0"/>
        <v>Civic</v>
      </c>
      <c r="F16" t="str">
        <f t="shared" si="5"/>
        <v>01</v>
      </c>
      <c r="G16">
        <f t="shared" si="1"/>
        <v>25</v>
      </c>
      <c r="H16" s="30">
        <v>69891.899999999994</v>
      </c>
      <c r="I16" s="30">
        <f t="shared" si="2"/>
        <v>2740.8588235294114</v>
      </c>
      <c r="J16" t="s">
        <v>179</v>
      </c>
      <c r="K16" t="s">
        <v>186</v>
      </c>
      <c r="L16">
        <v>75000</v>
      </c>
      <c r="M16" t="str">
        <f t="shared" si="6"/>
        <v>Y</v>
      </c>
      <c r="N16" t="str">
        <f t="shared" si="7"/>
        <v>HO01CIVBLU031</v>
      </c>
    </row>
    <row r="17" spans="1:14">
      <c r="A17" t="s">
        <v>195</v>
      </c>
      <c r="B17" t="str">
        <f t="shared" si="3"/>
        <v>HO</v>
      </c>
      <c r="C17" t="str">
        <f>VLOOKUP(B17,B$57:C75,2)</f>
        <v>Honda</v>
      </c>
      <c r="D17" t="str">
        <f t="shared" si="4"/>
        <v>ODY</v>
      </c>
      <c r="E17" t="str">
        <f t="shared" si="0"/>
        <v>Odyssey</v>
      </c>
      <c r="F17" t="str">
        <f t="shared" si="5"/>
        <v>01</v>
      </c>
      <c r="G17">
        <f t="shared" si="1"/>
        <v>25</v>
      </c>
      <c r="H17" s="30">
        <v>68658.899999999994</v>
      </c>
      <c r="I17" s="30">
        <f t="shared" si="2"/>
        <v>2692.5058823529412</v>
      </c>
      <c r="J17" t="s">
        <v>169</v>
      </c>
      <c r="K17" t="s">
        <v>142</v>
      </c>
      <c r="L17">
        <v>100000</v>
      </c>
      <c r="M17" t="str">
        <f t="shared" si="6"/>
        <v>Y</v>
      </c>
      <c r="N17" t="str">
        <f t="shared" si="7"/>
        <v>HO01ODYBLA040</v>
      </c>
    </row>
    <row r="18" spans="1:14">
      <c r="A18" t="s">
        <v>196</v>
      </c>
      <c r="B18" t="str">
        <f t="shared" si="3"/>
        <v>TY</v>
      </c>
      <c r="C18" t="str">
        <f>VLOOKUP(B18,B$57:C76,2)</f>
        <v>Toyota</v>
      </c>
      <c r="D18" t="str">
        <f t="shared" si="4"/>
        <v>COR</v>
      </c>
      <c r="E18" t="str">
        <f t="shared" si="0"/>
        <v>Corola</v>
      </c>
      <c r="F18" t="str">
        <f t="shared" si="5"/>
        <v>02</v>
      </c>
      <c r="G18">
        <f t="shared" si="1"/>
        <v>24</v>
      </c>
      <c r="H18" s="30">
        <v>64467.4</v>
      </c>
      <c r="I18" s="30">
        <f t="shared" si="2"/>
        <v>2631.3224489795921</v>
      </c>
      <c r="J18" t="s">
        <v>197</v>
      </c>
      <c r="K18" t="s">
        <v>177</v>
      </c>
      <c r="L18">
        <v>100000</v>
      </c>
      <c r="M18" t="str">
        <f t="shared" si="6"/>
        <v>Y</v>
      </c>
      <c r="N18" t="str">
        <f t="shared" si="7"/>
        <v>TY02CORRED025</v>
      </c>
    </row>
    <row r="19" spans="1:14">
      <c r="A19" t="s">
        <v>198</v>
      </c>
      <c r="B19" t="str">
        <f t="shared" si="3"/>
        <v>HO</v>
      </c>
      <c r="C19" t="str">
        <f>VLOOKUP(B19,B$57:C77,2)</f>
        <v>Honda</v>
      </c>
      <c r="D19" t="str">
        <f t="shared" si="4"/>
        <v>ODY</v>
      </c>
      <c r="E19" t="str">
        <f t="shared" si="0"/>
        <v>Odyssey</v>
      </c>
      <c r="F19" t="str">
        <f t="shared" si="5"/>
        <v>07</v>
      </c>
      <c r="G19">
        <f t="shared" si="1"/>
        <v>19</v>
      </c>
      <c r="H19" s="30">
        <v>50854.1</v>
      </c>
      <c r="I19" s="30">
        <f t="shared" si="2"/>
        <v>2607.9025641025642</v>
      </c>
      <c r="J19" t="s">
        <v>169</v>
      </c>
      <c r="K19" t="s">
        <v>170</v>
      </c>
      <c r="L19">
        <v>100000</v>
      </c>
      <c r="M19" t="str">
        <f t="shared" si="6"/>
        <v>Y</v>
      </c>
      <c r="N19" t="str">
        <f t="shared" si="7"/>
        <v>HO07ODYBLA038</v>
      </c>
    </row>
    <row r="20" spans="1:14">
      <c r="A20" t="s">
        <v>199</v>
      </c>
      <c r="B20" t="str">
        <f t="shared" si="3"/>
        <v>FD</v>
      </c>
      <c r="C20" t="str">
        <f>VLOOKUP(B20,B$57:C78,2)</f>
        <v>Ford</v>
      </c>
      <c r="D20" t="str">
        <f t="shared" si="4"/>
        <v>FCS</v>
      </c>
      <c r="E20" t="str">
        <f t="shared" si="0"/>
        <v>Focus</v>
      </c>
      <c r="F20" t="str">
        <f t="shared" si="5"/>
        <v>06</v>
      </c>
      <c r="G20">
        <f t="shared" si="1"/>
        <v>20</v>
      </c>
      <c r="H20" s="30">
        <v>52229.5</v>
      </c>
      <c r="I20" s="30">
        <f t="shared" si="2"/>
        <v>2547.7804878048782</v>
      </c>
      <c r="J20" t="s">
        <v>166</v>
      </c>
      <c r="K20" t="s">
        <v>200</v>
      </c>
      <c r="L20">
        <v>75000</v>
      </c>
      <c r="M20" t="str">
        <f t="shared" si="6"/>
        <v>Y</v>
      </c>
      <c r="N20" t="str">
        <f t="shared" si="7"/>
        <v>FD06FCSGRE007</v>
      </c>
    </row>
    <row r="21" spans="1:14">
      <c r="A21" t="s">
        <v>201</v>
      </c>
      <c r="B21" t="str">
        <f t="shared" si="3"/>
        <v>FD</v>
      </c>
      <c r="C21" t="str">
        <f>VLOOKUP(B21,B$57:C79,2)</f>
        <v>Ford</v>
      </c>
      <c r="D21" t="str">
        <f t="shared" si="4"/>
        <v>MTG</v>
      </c>
      <c r="E21" t="e">
        <f>VLOOKUP(D21,D76:E81,2)</f>
        <v>#N/A</v>
      </c>
      <c r="F21" t="str">
        <f t="shared" si="5"/>
        <v>08</v>
      </c>
      <c r="G21">
        <f t="shared" si="1"/>
        <v>18</v>
      </c>
      <c r="H21" s="30">
        <v>44946.5</v>
      </c>
      <c r="I21" s="30">
        <f t="shared" si="2"/>
        <v>2429.5405405405404</v>
      </c>
      <c r="J21" t="s">
        <v>166</v>
      </c>
      <c r="K21" t="s">
        <v>200</v>
      </c>
      <c r="L21">
        <v>50000</v>
      </c>
      <c r="M21" t="str">
        <f t="shared" si="6"/>
        <v>Y</v>
      </c>
      <c r="N21" t="str">
        <f t="shared" si="7"/>
        <v>FD08MTGGRE003</v>
      </c>
    </row>
    <row r="22" spans="1:14">
      <c r="A22" t="s">
        <v>202</v>
      </c>
      <c r="B22" t="str">
        <f t="shared" si="3"/>
        <v>CR</v>
      </c>
      <c r="C22" t="str">
        <f>VLOOKUP(B22,B$57:C80,2)</f>
        <v>Chrysler</v>
      </c>
      <c r="D22" t="str">
        <f t="shared" si="4"/>
        <v>CAR</v>
      </c>
      <c r="E22" t="str">
        <f>VLOOKUP(D22,D$57:E$67,2)</f>
        <v>Caravan</v>
      </c>
      <c r="F22" t="str">
        <f t="shared" si="5"/>
        <v>04</v>
      </c>
      <c r="G22">
        <f t="shared" si="1"/>
        <v>22</v>
      </c>
      <c r="H22" s="30">
        <v>52699.4</v>
      </c>
      <c r="I22" s="30">
        <f t="shared" si="2"/>
        <v>2342.1955555555555</v>
      </c>
      <c r="J22" t="s">
        <v>197</v>
      </c>
      <c r="K22" t="s">
        <v>175</v>
      </c>
      <c r="L22">
        <v>75000</v>
      </c>
      <c r="M22" t="str">
        <f t="shared" si="6"/>
        <v>Y</v>
      </c>
      <c r="N22" t="str">
        <f t="shared" si="7"/>
        <v>CR04CARRED048</v>
      </c>
    </row>
    <row r="23" spans="1:14">
      <c r="A23" t="s">
        <v>203</v>
      </c>
      <c r="B23" t="str">
        <f t="shared" si="3"/>
        <v>HO</v>
      </c>
      <c r="C23" t="str">
        <f>VLOOKUP(B23,B$57:C81,2)</f>
        <v>Honda</v>
      </c>
      <c r="D23" t="str">
        <f t="shared" si="4"/>
        <v>ODY</v>
      </c>
      <c r="E23" t="str">
        <f>VLOOKUP(D23,D$57:E$67,2)</f>
        <v>Odyssey</v>
      </c>
      <c r="F23" t="str">
        <f t="shared" si="5"/>
        <v>08</v>
      </c>
      <c r="G23">
        <f t="shared" si="1"/>
        <v>18</v>
      </c>
      <c r="H23" s="30">
        <v>42504.6</v>
      </c>
      <c r="I23" s="30">
        <f t="shared" si="2"/>
        <v>2297.5459459459457</v>
      </c>
      <c r="J23" t="s">
        <v>174</v>
      </c>
      <c r="K23" t="s">
        <v>182</v>
      </c>
      <c r="L23">
        <v>100000</v>
      </c>
      <c r="M23" t="str">
        <f t="shared" si="6"/>
        <v>Y</v>
      </c>
      <c r="N23" t="str">
        <f t="shared" si="7"/>
        <v>HO08ODYWHI039</v>
      </c>
    </row>
    <row r="24" spans="1:14">
      <c r="A24" t="s">
        <v>204</v>
      </c>
      <c r="B24" t="str">
        <f t="shared" si="3"/>
        <v>FD</v>
      </c>
      <c r="C24" t="str">
        <f>VLOOKUP(B24,B$57:C82,2)</f>
        <v>Ford</v>
      </c>
      <c r="D24" t="str">
        <f t="shared" si="4"/>
        <v>FCS</v>
      </c>
      <c r="E24" t="e">
        <f>VLOOKUP(D24,D79:E84,2)</f>
        <v>#N/A</v>
      </c>
      <c r="F24" t="str">
        <f t="shared" si="5"/>
        <v>06</v>
      </c>
      <c r="G24">
        <f t="shared" si="1"/>
        <v>20</v>
      </c>
      <c r="H24" s="30">
        <v>46311.4</v>
      </c>
      <c r="I24" s="30">
        <f t="shared" si="2"/>
        <v>2259.0926829268292</v>
      </c>
      <c r="J24" t="s">
        <v>166</v>
      </c>
      <c r="K24" t="s">
        <v>172</v>
      </c>
      <c r="L24">
        <v>75000</v>
      </c>
      <c r="M24" t="str">
        <f t="shared" si="6"/>
        <v>Y</v>
      </c>
      <c r="N24" t="str">
        <f t="shared" si="7"/>
        <v>FD06FCSGRE006</v>
      </c>
    </row>
    <row r="25" spans="1:14">
      <c r="A25" t="s">
        <v>205</v>
      </c>
      <c r="B25" t="str">
        <f t="shared" si="3"/>
        <v>FD</v>
      </c>
      <c r="C25" t="e">
        <f>VLOOKUP(B25,B80:C85,2)</f>
        <v>#N/A</v>
      </c>
      <c r="D25" t="str">
        <f t="shared" si="4"/>
        <v>MTG</v>
      </c>
      <c r="E25" t="e">
        <f>VLOOKUP(D25,D80:E85,2)</f>
        <v>#N/A</v>
      </c>
      <c r="F25" t="str">
        <f t="shared" si="5"/>
        <v>06</v>
      </c>
      <c r="G25">
        <f t="shared" si="1"/>
        <v>20</v>
      </c>
      <c r="H25" s="30">
        <v>44974.8</v>
      </c>
      <c r="I25" s="30">
        <f t="shared" si="2"/>
        <v>2193.8926829268294</v>
      </c>
      <c r="J25" t="s">
        <v>174</v>
      </c>
      <c r="K25" t="s">
        <v>206</v>
      </c>
      <c r="L25">
        <v>50000</v>
      </c>
      <c r="M25" t="str">
        <f t="shared" si="6"/>
        <v>Y</v>
      </c>
      <c r="N25" t="str">
        <f t="shared" si="7"/>
        <v>FD06MTGWHI002</v>
      </c>
    </row>
    <row r="26" spans="1:14">
      <c r="A26" t="s">
        <v>207</v>
      </c>
      <c r="B26" t="str">
        <f t="shared" si="3"/>
        <v>CR</v>
      </c>
      <c r="C26" t="str">
        <f>VLOOKUP(B26,B$57:C84,2)</f>
        <v>Chrysler</v>
      </c>
      <c r="D26" t="str">
        <f t="shared" si="4"/>
        <v>PTC</v>
      </c>
      <c r="E26" t="str">
        <f>VLOOKUP(D26,D$57:E$67,2)</f>
        <v>PT Cruiser</v>
      </c>
      <c r="F26" t="str">
        <f t="shared" si="5"/>
        <v>07</v>
      </c>
      <c r="G26">
        <f t="shared" si="1"/>
        <v>19</v>
      </c>
      <c r="H26" s="30">
        <v>42074.2</v>
      </c>
      <c r="I26" s="30">
        <f t="shared" si="2"/>
        <v>2157.6512820512821</v>
      </c>
      <c r="J26" t="s">
        <v>166</v>
      </c>
      <c r="K26" t="s">
        <v>177</v>
      </c>
      <c r="L26">
        <v>75000</v>
      </c>
      <c r="M26" t="str">
        <f t="shared" si="6"/>
        <v>Y</v>
      </c>
      <c r="N26" t="str">
        <f t="shared" si="7"/>
        <v>CR07PTCGRE043</v>
      </c>
    </row>
    <row r="27" spans="1:14">
      <c r="A27" t="s">
        <v>208</v>
      </c>
      <c r="B27" t="str">
        <f t="shared" si="3"/>
        <v>FD</v>
      </c>
      <c r="C27" t="str">
        <f>VLOOKUP(B27,B$57:C85,2)</f>
        <v>Ford</v>
      </c>
      <c r="D27" t="str">
        <f t="shared" si="4"/>
        <v>FCS</v>
      </c>
      <c r="E27" t="str">
        <f>VLOOKUP(D27,D$57:E$67,2)</f>
        <v>Focus</v>
      </c>
      <c r="F27" t="str">
        <f t="shared" si="5"/>
        <v>13</v>
      </c>
      <c r="G27">
        <f t="shared" si="1"/>
        <v>13</v>
      </c>
      <c r="H27" s="30">
        <v>27637.1</v>
      </c>
      <c r="I27" s="30">
        <f t="shared" si="2"/>
        <v>2047.1925925925925</v>
      </c>
      <c r="J27" t="s">
        <v>169</v>
      </c>
      <c r="K27" t="s">
        <v>142</v>
      </c>
      <c r="L27">
        <v>75000</v>
      </c>
      <c r="M27" t="str">
        <f t="shared" si="6"/>
        <v>Y</v>
      </c>
      <c r="N27" t="str">
        <f t="shared" si="7"/>
        <v>FD13FCSBLA009</v>
      </c>
    </row>
    <row r="28" spans="1:14">
      <c r="A28" t="s">
        <v>209</v>
      </c>
      <c r="B28" t="str">
        <f t="shared" si="3"/>
        <v>TY</v>
      </c>
      <c r="C28" t="str">
        <f>VLOOKUP(B28,B$57:C86,2)</f>
        <v>Toyota</v>
      </c>
      <c r="D28" t="str">
        <f t="shared" si="4"/>
        <v>COR</v>
      </c>
      <c r="E28" t="str">
        <f>VLOOKUP(D28,D$57:E$67,2)</f>
        <v>Corola</v>
      </c>
      <c r="F28" t="str">
        <f t="shared" si="5"/>
        <v>12</v>
      </c>
      <c r="G28">
        <f t="shared" si="1"/>
        <v>14</v>
      </c>
      <c r="H28" s="30">
        <v>29601.9</v>
      </c>
      <c r="I28" s="30">
        <f t="shared" si="2"/>
        <v>2041.5103448275863</v>
      </c>
      <c r="J28" t="s">
        <v>169</v>
      </c>
      <c r="K28" t="s">
        <v>184</v>
      </c>
      <c r="L28">
        <v>100000</v>
      </c>
      <c r="M28" t="str">
        <f t="shared" si="6"/>
        <v>Y</v>
      </c>
      <c r="N28" t="str">
        <f t="shared" si="7"/>
        <v>TY12CORBLA028</v>
      </c>
    </row>
    <row r="29" spans="1:14">
      <c r="A29" t="s">
        <v>210</v>
      </c>
      <c r="B29" t="str">
        <f t="shared" si="3"/>
        <v>FD</v>
      </c>
      <c r="C29" t="str">
        <f>VLOOKUP(B29,B$57:C87,2)</f>
        <v>Ford</v>
      </c>
      <c r="D29" t="str">
        <f t="shared" si="4"/>
        <v>FCS</v>
      </c>
      <c r="E29" t="str">
        <f>VLOOKUP(D29,D$57:E$67,2)</f>
        <v>Focus</v>
      </c>
      <c r="F29" t="str">
        <f t="shared" si="5"/>
        <v>13</v>
      </c>
      <c r="G29">
        <f t="shared" si="1"/>
        <v>13</v>
      </c>
      <c r="H29" s="30">
        <v>27534.799999999999</v>
      </c>
      <c r="I29" s="30">
        <f t="shared" si="2"/>
        <v>2039.6148148148147</v>
      </c>
      <c r="J29" t="s">
        <v>174</v>
      </c>
      <c r="K29" t="s">
        <v>211</v>
      </c>
      <c r="L29">
        <v>75000</v>
      </c>
      <c r="M29" t="str">
        <f t="shared" si="6"/>
        <v>Y</v>
      </c>
      <c r="N29" t="str">
        <f t="shared" si="7"/>
        <v>FD13FCSWHI010</v>
      </c>
    </row>
    <row r="30" spans="1:14">
      <c r="A30" t="s">
        <v>212</v>
      </c>
      <c r="B30" t="str">
        <f t="shared" si="3"/>
        <v>FD</v>
      </c>
      <c r="C30" t="str">
        <f>VLOOKUP(B30,B$57:C88,2)</f>
        <v>Ford</v>
      </c>
      <c r="D30" t="str">
        <f t="shared" si="4"/>
        <v>MTG</v>
      </c>
      <c r="E30" t="e">
        <f>VLOOKUP(D30,D85:E90,2)</f>
        <v>#N/A</v>
      </c>
      <c r="F30" t="str">
        <f t="shared" si="5"/>
        <v>08</v>
      </c>
      <c r="G30">
        <f t="shared" si="1"/>
        <v>18</v>
      </c>
      <c r="H30" s="30">
        <v>37558.800000000003</v>
      </c>
      <c r="I30" s="30">
        <f t="shared" si="2"/>
        <v>2030.2054054054056</v>
      </c>
      <c r="J30" t="s">
        <v>169</v>
      </c>
      <c r="K30" t="s">
        <v>186</v>
      </c>
      <c r="L30">
        <v>50000</v>
      </c>
      <c r="M30" t="str">
        <f t="shared" si="6"/>
        <v>Y</v>
      </c>
      <c r="N30" t="str">
        <f t="shared" si="7"/>
        <v>FD08MTGBLA004</v>
      </c>
    </row>
    <row r="31" spans="1:14">
      <c r="A31" t="s">
        <v>213</v>
      </c>
      <c r="B31" t="str">
        <f t="shared" si="3"/>
        <v>HO</v>
      </c>
      <c r="C31" t="str">
        <f>VLOOKUP(B31,B$57:C89,2)</f>
        <v>Honda</v>
      </c>
      <c r="D31" t="str">
        <f t="shared" si="4"/>
        <v>CIV</v>
      </c>
      <c r="E31" t="str">
        <f>VLOOKUP(D31,D$57:E$67,2)</f>
        <v>Civic</v>
      </c>
      <c r="F31" t="str">
        <f t="shared" si="5"/>
        <v>10</v>
      </c>
      <c r="G31">
        <f t="shared" si="1"/>
        <v>16</v>
      </c>
      <c r="H31" s="30">
        <v>33477.199999999997</v>
      </c>
      <c r="I31" s="30">
        <f t="shared" si="2"/>
        <v>2028.921212121212</v>
      </c>
      <c r="J31" t="s">
        <v>169</v>
      </c>
      <c r="K31" t="s">
        <v>170</v>
      </c>
      <c r="L31">
        <v>75000</v>
      </c>
      <c r="M31" t="str">
        <f t="shared" si="6"/>
        <v>Y</v>
      </c>
      <c r="N31" t="str">
        <f t="shared" si="7"/>
        <v>HO10CIVBLA033</v>
      </c>
    </row>
    <row r="32" spans="1:14">
      <c r="A32" t="s">
        <v>214</v>
      </c>
      <c r="B32" t="str">
        <f t="shared" si="3"/>
        <v>FD</v>
      </c>
      <c r="C32" t="str">
        <f>VLOOKUP(B32,B$57:C90,2)</f>
        <v>Ford</v>
      </c>
      <c r="D32" t="str">
        <f t="shared" si="4"/>
        <v>FCS</v>
      </c>
      <c r="E32" t="str">
        <f>VLOOKUP(D32,D$57:E$67,2)</f>
        <v>Focus</v>
      </c>
      <c r="F32" t="str">
        <f t="shared" si="5"/>
        <v>09</v>
      </c>
      <c r="G32">
        <f t="shared" si="1"/>
        <v>17</v>
      </c>
      <c r="H32" s="30">
        <v>35137</v>
      </c>
      <c r="I32" s="30">
        <f t="shared" si="2"/>
        <v>2007.8285714285714</v>
      </c>
      <c r="J32" t="s">
        <v>169</v>
      </c>
      <c r="K32" t="s">
        <v>191</v>
      </c>
      <c r="L32">
        <v>75000</v>
      </c>
      <c r="M32" t="str">
        <f t="shared" si="6"/>
        <v>Y</v>
      </c>
      <c r="N32" t="str">
        <f t="shared" si="7"/>
        <v>FD09FCSBLA008</v>
      </c>
    </row>
    <row r="33" spans="1:14">
      <c r="A33" t="s">
        <v>215</v>
      </c>
      <c r="B33" t="str">
        <f t="shared" si="3"/>
        <v>HO</v>
      </c>
      <c r="C33" t="str">
        <f>VLOOKUP(B33,B$57:C91,2)</f>
        <v>Honda</v>
      </c>
      <c r="D33" t="str">
        <f t="shared" si="4"/>
        <v>CIV</v>
      </c>
      <c r="E33" t="str">
        <f>VLOOKUP(D33,D$57:E$67,2)</f>
        <v>Civic</v>
      </c>
      <c r="F33" t="str">
        <f t="shared" si="5"/>
        <v>11</v>
      </c>
      <c r="G33">
        <f t="shared" si="1"/>
        <v>15</v>
      </c>
      <c r="H33" s="30">
        <v>30555.3</v>
      </c>
      <c r="I33" s="30">
        <f t="shared" si="2"/>
        <v>1971.3096774193548</v>
      </c>
      <c r="J33" t="s">
        <v>169</v>
      </c>
      <c r="K33" t="s">
        <v>200</v>
      </c>
      <c r="L33">
        <v>75000</v>
      </c>
      <c r="M33" t="str">
        <f t="shared" si="6"/>
        <v>Y</v>
      </c>
      <c r="N33" t="str">
        <f t="shared" si="7"/>
        <v>HO11CIVBLA034</v>
      </c>
    </row>
    <row r="34" spans="1:14">
      <c r="A34" t="s">
        <v>216</v>
      </c>
      <c r="B34" t="str">
        <f t="shared" si="3"/>
        <v>FD</v>
      </c>
      <c r="C34" t="str">
        <f>VLOOKUP(B34,B$57:C92,2)</f>
        <v>Ford</v>
      </c>
      <c r="D34" t="str">
        <f t="shared" si="4"/>
        <v>MTG</v>
      </c>
      <c r="E34" t="e">
        <f>VLOOKUP(D34,D89:E94,2)</f>
        <v>#N/A</v>
      </c>
      <c r="F34" t="str">
        <f t="shared" si="5"/>
        <v>08</v>
      </c>
      <c r="G34">
        <f t="shared" si="1"/>
        <v>18</v>
      </c>
      <c r="H34" s="30">
        <v>36438.5</v>
      </c>
      <c r="I34" s="30">
        <f t="shared" si="2"/>
        <v>1969.6486486486488</v>
      </c>
      <c r="J34" t="s">
        <v>174</v>
      </c>
      <c r="K34" t="s">
        <v>142</v>
      </c>
      <c r="L34">
        <v>50000</v>
      </c>
      <c r="M34" t="str">
        <f t="shared" si="6"/>
        <v>Y</v>
      </c>
      <c r="N34" t="str">
        <f t="shared" si="7"/>
        <v>FD08MTGWHI005</v>
      </c>
    </row>
    <row r="35" spans="1:14">
      <c r="A35" t="s">
        <v>217</v>
      </c>
      <c r="B35" t="str">
        <f t="shared" si="3"/>
        <v>FD</v>
      </c>
      <c r="C35" t="e">
        <f>VLOOKUP(B35,B90:C95,2)</f>
        <v>#N/A</v>
      </c>
      <c r="D35" t="str">
        <f t="shared" si="4"/>
        <v>MTG</v>
      </c>
      <c r="E35" t="e">
        <f>VLOOKUP(D35,D90:E95,2)</f>
        <v>#N/A</v>
      </c>
      <c r="F35" t="str">
        <f t="shared" si="5"/>
        <v>06</v>
      </c>
      <c r="G35">
        <f t="shared" si="1"/>
        <v>20</v>
      </c>
      <c r="H35" s="30">
        <v>40326.800000000003</v>
      </c>
      <c r="I35" s="30">
        <f t="shared" si="2"/>
        <v>1967.1609756097562</v>
      </c>
      <c r="J35" t="s">
        <v>169</v>
      </c>
      <c r="K35" t="s">
        <v>142</v>
      </c>
      <c r="L35">
        <v>50000</v>
      </c>
      <c r="M35" t="str">
        <f t="shared" si="6"/>
        <v>Y</v>
      </c>
      <c r="N35" t="str">
        <f t="shared" si="7"/>
        <v>FD06MTGBLA001</v>
      </c>
    </row>
    <row r="36" spans="1:14">
      <c r="A36" t="s">
        <v>218</v>
      </c>
      <c r="B36" t="str">
        <f t="shared" si="3"/>
        <v>GM</v>
      </c>
      <c r="C36" t="str">
        <f>VLOOKUP(B36,B$57:C94,2)</f>
        <v>General Motors</v>
      </c>
      <c r="D36" t="str">
        <f t="shared" si="4"/>
        <v>SLV</v>
      </c>
      <c r="E36" t="str">
        <f t="shared" ref="E36:E53" si="8">VLOOKUP(D36,D$57:E$67,2)</f>
        <v>Silverado</v>
      </c>
      <c r="F36" t="str">
        <f t="shared" si="5"/>
        <v>10</v>
      </c>
      <c r="G36">
        <f t="shared" si="1"/>
        <v>16</v>
      </c>
      <c r="H36" s="30">
        <v>31144.400000000001</v>
      </c>
      <c r="I36" s="30">
        <f t="shared" si="2"/>
        <v>1887.5393939393941</v>
      </c>
      <c r="J36" t="s">
        <v>169</v>
      </c>
      <c r="K36" t="s">
        <v>188</v>
      </c>
      <c r="L36">
        <v>100000</v>
      </c>
      <c r="M36" t="str">
        <f t="shared" si="6"/>
        <v>Y</v>
      </c>
      <c r="N36" t="str">
        <f t="shared" si="7"/>
        <v>GM10SLVBLA017</v>
      </c>
    </row>
    <row r="37" spans="1:14">
      <c r="A37" t="s">
        <v>219</v>
      </c>
      <c r="B37" t="str">
        <f t="shared" si="3"/>
        <v>HY</v>
      </c>
      <c r="C37" t="str">
        <f>VLOOKUP(B37,B$57:C95,2)</f>
        <v>Hundai</v>
      </c>
      <c r="D37" t="str">
        <f t="shared" si="4"/>
        <v>ELA</v>
      </c>
      <c r="E37" t="str">
        <f t="shared" si="8"/>
        <v>Elantra</v>
      </c>
      <c r="F37" t="str">
        <f t="shared" si="5"/>
        <v>11</v>
      </c>
      <c r="G37">
        <f t="shared" si="1"/>
        <v>15</v>
      </c>
      <c r="H37" s="30">
        <v>29102.3</v>
      </c>
      <c r="I37" s="30">
        <f t="shared" si="2"/>
        <v>1877.5677419354838</v>
      </c>
      <c r="J37" t="s">
        <v>169</v>
      </c>
      <c r="K37" t="s">
        <v>220</v>
      </c>
      <c r="L37">
        <v>100000</v>
      </c>
      <c r="M37" t="str">
        <f t="shared" si="6"/>
        <v>Y</v>
      </c>
      <c r="N37" t="str">
        <f t="shared" si="7"/>
        <v>HY11ELABLA049</v>
      </c>
    </row>
    <row r="38" spans="1:14">
      <c r="A38" t="s">
        <v>221</v>
      </c>
      <c r="B38" t="str">
        <f t="shared" si="3"/>
        <v>CR</v>
      </c>
      <c r="C38" t="str">
        <f>VLOOKUP(B38,B$57:C96,2)</f>
        <v>Chrysler</v>
      </c>
      <c r="D38" t="str">
        <f t="shared" si="4"/>
        <v>PTC</v>
      </c>
      <c r="E38" t="str">
        <f t="shared" si="8"/>
        <v>PT Cruiser</v>
      </c>
      <c r="F38" t="str">
        <f t="shared" si="5"/>
        <v>11</v>
      </c>
      <c r="G38">
        <f t="shared" si="1"/>
        <v>15</v>
      </c>
      <c r="H38" s="30">
        <v>27394.2</v>
      </c>
      <c r="I38" s="30">
        <f t="shared" si="2"/>
        <v>1767.367741935484</v>
      </c>
      <c r="J38" t="s">
        <v>169</v>
      </c>
      <c r="K38" t="s">
        <v>180</v>
      </c>
      <c r="L38">
        <v>75000</v>
      </c>
      <c r="M38" t="str">
        <f t="shared" si="6"/>
        <v>Y</v>
      </c>
      <c r="N38" t="str">
        <f t="shared" si="7"/>
        <v>CR11PTCBLA044</v>
      </c>
    </row>
    <row r="39" spans="1:14">
      <c r="A39" t="s">
        <v>222</v>
      </c>
      <c r="B39" t="str">
        <f t="shared" si="3"/>
        <v>HO</v>
      </c>
      <c r="C39" t="str">
        <f>VLOOKUP(B39,B$57:C97,2)</f>
        <v>Honda</v>
      </c>
      <c r="D39" t="str">
        <f t="shared" si="4"/>
        <v>CIV</v>
      </c>
      <c r="E39" t="str">
        <f t="shared" si="8"/>
        <v>Civic</v>
      </c>
      <c r="F39" t="str">
        <f t="shared" si="5"/>
        <v>12</v>
      </c>
      <c r="G39">
        <f t="shared" si="1"/>
        <v>14</v>
      </c>
      <c r="H39" s="30">
        <v>24513.200000000001</v>
      </c>
      <c r="I39" s="30">
        <f t="shared" si="2"/>
        <v>1690.5655172413794</v>
      </c>
      <c r="J39" t="s">
        <v>169</v>
      </c>
      <c r="K39" t="s">
        <v>188</v>
      </c>
      <c r="L39">
        <v>75000</v>
      </c>
      <c r="M39" t="str">
        <f t="shared" si="6"/>
        <v>Y</v>
      </c>
      <c r="N39" t="str">
        <f t="shared" si="7"/>
        <v>HO12CIVBLA035</v>
      </c>
    </row>
    <row r="40" spans="1:14">
      <c r="A40" t="s">
        <v>223</v>
      </c>
      <c r="B40" t="str">
        <f t="shared" si="3"/>
        <v>FD</v>
      </c>
      <c r="C40" t="str">
        <f>VLOOKUP(B40,B$57:C98,2)</f>
        <v>Ford</v>
      </c>
      <c r="D40" t="str">
        <f t="shared" si="4"/>
        <v>FCS</v>
      </c>
      <c r="E40" t="str">
        <f t="shared" si="8"/>
        <v>Focus</v>
      </c>
      <c r="F40" t="str">
        <f t="shared" si="5"/>
        <v>13</v>
      </c>
      <c r="G40">
        <f t="shared" si="1"/>
        <v>13</v>
      </c>
      <c r="H40" s="30">
        <v>22521.599999999999</v>
      </c>
      <c r="I40" s="30">
        <f t="shared" si="2"/>
        <v>1668.2666666666667</v>
      </c>
      <c r="J40" t="s">
        <v>169</v>
      </c>
      <c r="K40" t="s">
        <v>180</v>
      </c>
      <c r="L40">
        <v>75000</v>
      </c>
      <c r="M40" t="str">
        <f t="shared" si="6"/>
        <v>Y</v>
      </c>
      <c r="N40" t="str">
        <f t="shared" si="7"/>
        <v>FD13FCSBLA012</v>
      </c>
    </row>
    <row r="41" spans="1:14">
      <c r="A41" t="s">
        <v>224</v>
      </c>
      <c r="B41" t="str">
        <f t="shared" si="3"/>
        <v>HY</v>
      </c>
      <c r="C41" t="str">
        <f>VLOOKUP(B41,B$57:C99,2)</f>
        <v>Hundai</v>
      </c>
      <c r="D41" t="str">
        <f t="shared" si="4"/>
        <v>ELA</v>
      </c>
      <c r="E41" t="str">
        <f t="shared" si="8"/>
        <v>Elantra</v>
      </c>
      <c r="F41" t="str">
        <f t="shared" si="5"/>
        <v>13</v>
      </c>
      <c r="G41">
        <f t="shared" si="1"/>
        <v>13</v>
      </c>
      <c r="H41" s="30">
        <v>22188.5</v>
      </c>
      <c r="I41" s="30">
        <f t="shared" si="2"/>
        <v>1643.5925925925926</v>
      </c>
      <c r="J41" t="s">
        <v>179</v>
      </c>
      <c r="K41" t="s">
        <v>172</v>
      </c>
      <c r="L41">
        <v>100000</v>
      </c>
      <c r="M41" t="str">
        <f t="shared" si="6"/>
        <v>Y</v>
      </c>
      <c r="N41" t="str">
        <f t="shared" si="7"/>
        <v>HY13ELABLU052</v>
      </c>
    </row>
    <row r="42" spans="1:14">
      <c r="A42" t="s">
        <v>225</v>
      </c>
      <c r="B42" t="str">
        <f t="shared" si="3"/>
        <v>GM</v>
      </c>
      <c r="C42" t="str">
        <f>VLOOKUP(B42,B$57:C100,2)</f>
        <v>General Motors</v>
      </c>
      <c r="D42" t="str">
        <f t="shared" si="4"/>
        <v>CMR</v>
      </c>
      <c r="E42" t="str">
        <f t="shared" si="8"/>
        <v>Camero</v>
      </c>
      <c r="F42" t="str">
        <f t="shared" si="5"/>
        <v>09</v>
      </c>
      <c r="G42">
        <f t="shared" si="1"/>
        <v>17</v>
      </c>
      <c r="H42" s="30">
        <v>28464.799999999999</v>
      </c>
      <c r="I42" s="30">
        <f t="shared" si="2"/>
        <v>1626.56</v>
      </c>
      <c r="J42" t="s">
        <v>174</v>
      </c>
      <c r="K42" t="s">
        <v>184</v>
      </c>
      <c r="L42">
        <v>100000</v>
      </c>
      <c r="M42" t="str">
        <f t="shared" si="6"/>
        <v>Y</v>
      </c>
      <c r="N42" t="str">
        <f t="shared" si="7"/>
        <v>GM09CMRWHI014</v>
      </c>
    </row>
    <row r="43" spans="1:14">
      <c r="A43" t="s">
        <v>226</v>
      </c>
      <c r="B43" t="str">
        <f t="shared" si="3"/>
        <v>HY</v>
      </c>
      <c r="C43" t="str">
        <f>VLOOKUP(B43,B$57:C101,2)</f>
        <v>Hundai</v>
      </c>
      <c r="D43" t="str">
        <f t="shared" si="4"/>
        <v>ELA</v>
      </c>
      <c r="E43" t="str">
        <f t="shared" si="8"/>
        <v>Elantra</v>
      </c>
      <c r="F43" t="str">
        <f t="shared" si="5"/>
        <v>12</v>
      </c>
      <c r="G43">
        <f t="shared" si="1"/>
        <v>14</v>
      </c>
      <c r="H43" s="30">
        <v>22282</v>
      </c>
      <c r="I43" s="30">
        <f t="shared" si="2"/>
        <v>1536.6896551724137</v>
      </c>
      <c r="J43" t="s">
        <v>179</v>
      </c>
      <c r="K43" t="s">
        <v>206</v>
      </c>
      <c r="L43">
        <v>100000</v>
      </c>
      <c r="M43" t="str">
        <f t="shared" si="6"/>
        <v>Y</v>
      </c>
      <c r="N43" t="str">
        <f t="shared" si="7"/>
        <v>HY12ELABLU050</v>
      </c>
    </row>
    <row r="44" spans="1:14">
      <c r="A44" t="s">
        <v>227</v>
      </c>
      <c r="B44" t="str">
        <f t="shared" si="3"/>
        <v>TY</v>
      </c>
      <c r="C44" t="str">
        <f>VLOOKUP(B44,B$57:C102,2)</f>
        <v>Toyota</v>
      </c>
      <c r="D44" t="str">
        <f t="shared" si="4"/>
        <v>CAM</v>
      </c>
      <c r="E44" t="str">
        <f t="shared" si="8"/>
        <v>Camrey</v>
      </c>
      <c r="F44" t="str">
        <f t="shared" si="5"/>
        <v>12</v>
      </c>
      <c r="G44">
        <f t="shared" si="1"/>
        <v>14</v>
      </c>
      <c r="H44" s="30">
        <v>22128.2</v>
      </c>
      <c r="I44" s="30">
        <f t="shared" si="2"/>
        <v>1526.0827586206897</v>
      </c>
      <c r="J44" t="s">
        <v>179</v>
      </c>
      <c r="K44" t="s">
        <v>167</v>
      </c>
      <c r="L44">
        <v>100000</v>
      </c>
      <c r="M44" t="str">
        <f t="shared" si="6"/>
        <v>Y</v>
      </c>
      <c r="N44" t="str">
        <f t="shared" si="7"/>
        <v>TY12CAMBLU029</v>
      </c>
    </row>
    <row r="45" spans="1:14">
      <c r="A45" t="s">
        <v>228</v>
      </c>
      <c r="B45" t="str">
        <f t="shared" si="3"/>
        <v>HY</v>
      </c>
      <c r="C45" t="str">
        <f>VLOOKUP(B45,B$57:C103,2)</f>
        <v>Hundai</v>
      </c>
      <c r="D45" t="str">
        <f t="shared" si="4"/>
        <v>ELA</v>
      </c>
      <c r="E45" t="str">
        <f t="shared" si="8"/>
        <v>Elantra</v>
      </c>
      <c r="F45" t="str">
        <f t="shared" si="5"/>
        <v>13</v>
      </c>
      <c r="G45">
        <f t="shared" si="1"/>
        <v>13</v>
      </c>
      <c r="H45" s="30">
        <v>20223.900000000001</v>
      </c>
      <c r="I45" s="30">
        <f t="shared" si="2"/>
        <v>1498.0666666666668</v>
      </c>
      <c r="J45" t="s">
        <v>169</v>
      </c>
      <c r="K45" t="s">
        <v>211</v>
      </c>
      <c r="L45">
        <v>100000</v>
      </c>
      <c r="M45" t="str">
        <f t="shared" si="6"/>
        <v>Y</v>
      </c>
      <c r="N45" t="str">
        <f t="shared" si="7"/>
        <v>HY13ELABLA051</v>
      </c>
    </row>
    <row r="46" spans="1:14">
      <c r="A46" t="s">
        <v>229</v>
      </c>
      <c r="B46" t="str">
        <f t="shared" si="3"/>
        <v>TY</v>
      </c>
      <c r="C46" t="str">
        <f>VLOOKUP(B46,B$57:C104,2)</f>
        <v>Toyota</v>
      </c>
      <c r="D46" t="str">
        <f t="shared" si="4"/>
        <v>COR</v>
      </c>
      <c r="E46" t="str">
        <f t="shared" si="8"/>
        <v>Corola</v>
      </c>
      <c r="F46" t="str">
        <f t="shared" si="5"/>
        <v>14</v>
      </c>
      <c r="G46">
        <f t="shared" si="1"/>
        <v>12</v>
      </c>
      <c r="H46" s="30">
        <v>17556.3</v>
      </c>
      <c r="I46" s="30">
        <f t="shared" si="2"/>
        <v>1404.5039999999999</v>
      </c>
      <c r="J46" t="s">
        <v>179</v>
      </c>
      <c r="K46" t="s">
        <v>211</v>
      </c>
      <c r="L46">
        <v>100000</v>
      </c>
      <c r="M46" t="str">
        <f t="shared" si="6"/>
        <v>Y</v>
      </c>
      <c r="N46" t="str">
        <f t="shared" si="7"/>
        <v>TY14CORBLU027</v>
      </c>
    </row>
    <row r="47" spans="1:14">
      <c r="A47" t="s">
        <v>230</v>
      </c>
      <c r="B47" t="str">
        <f t="shared" si="3"/>
        <v>HO</v>
      </c>
      <c r="C47" t="str">
        <f>VLOOKUP(B47,B$57:C105,2)</f>
        <v>Honda</v>
      </c>
      <c r="D47" t="str">
        <f t="shared" si="4"/>
        <v>CIV</v>
      </c>
      <c r="E47" t="str">
        <f t="shared" si="8"/>
        <v>Civic</v>
      </c>
      <c r="F47" t="str">
        <f t="shared" si="5"/>
        <v>10</v>
      </c>
      <c r="G47">
        <f t="shared" si="1"/>
        <v>16</v>
      </c>
      <c r="H47" s="30">
        <v>22573</v>
      </c>
      <c r="I47" s="30">
        <f t="shared" si="2"/>
        <v>1368.060606060606</v>
      </c>
      <c r="J47" t="s">
        <v>179</v>
      </c>
      <c r="K47" t="s">
        <v>220</v>
      </c>
      <c r="L47">
        <v>75000</v>
      </c>
      <c r="M47" t="str">
        <f t="shared" si="6"/>
        <v>Y</v>
      </c>
      <c r="N47" t="str">
        <f t="shared" si="7"/>
        <v>HO10CIVBLU032</v>
      </c>
    </row>
    <row r="48" spans="1:14">
      <c r="A48" t="s">
        <v>231</v>
      </c>
      <c r="B48" t="str">
        <f t="shared" si="3"/>
        <v>GM</v>
      </c>
      <c r="C48" t="str">
        <f>VLOOKUP(B48,B$57:C106,2)</f>
        <v>General Motors</v>
      </c>
      <c r="D48" t="str">
        <f t="shared" si="4"/>
        <v>CMR</v>
      </c>
      <c r="E48" t="str">
        <f t="shared" si="8"/>
        <v>Camero</v>
      </c>
      <c r="F48" t="str">
        <f t="shared" si="5"/>
        <v>12</v>
      </c>
      <c r="G48">
        <f t="shared" si="1"/>
        <v>14</v>
      </c>
      <c r="H48" s="30">
        <v>19421.099999999999</v>
      </c>
      <c r="I48" s="30">
        <f t="shared" si="2"/>
        <v>1339.3862068965516</v>
      </c>
      <c r="J48" t="s">
        <v>169</v>
      </c>
      <c r="K48" t="s">
        <v>175</v>
      </c>
      <c r="L48">
        <v>100000</v>
      </c>
      <c r="M48" t="str">
        <f t="shared" si="6"/>
        <v>Y</v>
      </c>
      <c r="N48" t="str">
        <f t="shared" si="7"/>
        <v>GM12CMRBLA015</v>
      </c>
    </row>
    <row r="49" spans="1:14">
      <c r="A49" t="s">
        <v>232</v>
      </c>
      <c r="B49" t="str">
        <f t="shared" si="3"/>
        <v>FD</v>
      </c>
      <c r="C49" t="str">
        <f>VLOOKUP(B49,B$57:C107,2)</f>
        <v>Ford</v>
      </c>
      <c r="D49" t="str">
        <f t="shared" si="4"/>
        <v>FCS</v>
      </c>
      <c r="E49" t="str">
        <f t="shared" si="8"/>
        <v>Focus</v>
      </c>
      <c r="F49" t="str">
        <f t="shared" si="5"/>
        <v>12</v>
      </c>
      <c r="G49">
        <f t="shared" si="1"/>
        <v>14</v>
      </c>
      <c r="H49" s="30">
        <v>19341.7</v>
      </c>
      <c r="I49" s="30">
        <f t="shared" si="2"/>
        <v>1333.9103448275862</v>
      </c>
      <c r="J49" t="s">
        <v>174</v>
      </c>
      <c r="K49" t="s">
        <v>233</v>
      </c>
      <c r="L49">
        <v>75000</v>
      </c>
      <c r="M49" t="str">
        <f t="shared" si="6"/>
        <v>Y</v>
      </c>
      <c r="N49" t="str">
        <f t="shared" si="7"/>
        <v>FD12FCSWHI011</v>
      </c>
    </row>
    <row r="50" spans="1:14">
      <c r="A50" t="s">
        <v>234</v>
      </c>
      <c r="B50" t="str">
        <f t="shared" si="3"/>
        <v>GM</v>
      </c>
      <c r="C50" t="str">
        <f>VLOOKUP(B50,B$57:C108,2)</f>
        <v>General Motors</v>
      </c>
      <c r="D50" t="str">
        <f t="shared" si="4"/>
        <v>CMR</v>
      </c>
      <c r="E50" t="str">
        <f t="shared" si="8"/>
        <v>Camero</v>
      </c>
      <c r="F50" t="str">
        <f t="shared" si="5"/>
        <v>14</v>
      </c>
      <c r="G50">
        <f t="shared" si="1"/>
        <v>12</v>
      </c>
      <c r="H50" s="30">
        <v>14289.6</v>
      </c>
      <c r="I50" s="30">
        <f t="shared" si="2"/>
        <v>1143.1680000000001</v>
      </c>
      <c r="J50" t="s">
        <v>174</v>
      </c>
      <c r="K50" t="s">
        <v>220</v>
      </c>
      <c r="L50">
        <v>100000</v>
      </c>
      <c r="M50" t="str">
        <f t="shared" si="6"/>
        <v>Y</v>
      </c>
      <c r="N50" t="str">
        <f t="shared" si="7"/>
        <v>GM14CMRWHI016</v>
      </c>
    </row>
    <row r="51" spans="1:14">
      <c r="A51" t="s">
        <v>235</v>
      </c>
      <c r="B51" t="str">
        <f t="shared" si="3"/>
        <v>HO</v>
      </c>
      <c r="C51" t="str">
        <f>VLOOKUP(B51,B$57:C109,2)</f>
        <v>Honda</v>
      </c>
      <c r="D51" t="str">
        <f t="shared" si="4"/>
        <v>CIV</v>
      </c>
      <c r="E51" t="str">
        <f t="shared" si="8"/>
        <v>Civic</v>
      </c>
      <c r="F51" t="str">
        <f t="shared" si="5"/>
        <v>13</v>
      </c>
      <c r="G51">
        <f t="shared" si="1"/>
        <v>13</v>
      </c>
      <c r="H51" s="30">
        <v>13867.6</v>
      </c>
      <c r="I51" s="30">
        <f t="shared" si="2"/>
        <v>1027.2296296296297</v>
      </c>
      <c r="J51" t="s">
        <v>169</v>
      </c>
      <c r="K51" t="s">
        <v>167</v>
      </c>
      <c r="L51">
        <v>75000</v>
      </c>
      <c r="M51" t="str">
        <f t="shared" si="6"/>
        <v>Y</v>
      </c>
      <c r="N51" t="str">
        <f t="shared" si="7"/>
        <v>HO13CIVBLA036</v>
      </c>
    </row>
    <row r="52" spans="1:14">
      <c r="A52" t="s">
        <v>236</v>
      </c>
      <c r="B52" t="str">
        <f t="shared" si="3"/>
        <v>FD</v>
      </c>
      <c r="C52" t="str">
        <f>VLOOKUP(B52,B$57:C110,2)</f>
        <v>Ford</v>
      </c>
      <c r="D52" t="str">
        <f t="shared" si="4"/>
        <v>FCS</v>
      </c>
      <c r="E52" t="str">
        <f t="shared" si="8"/>
        <v>Focus</v>
      </c>
      <c r="F52" t="str">
        <f t="shared" si="5"/>
        <v>13</v>
      </c>
      <c r="G52">
        <f t="shared" si="1"/>
        <v>13</v>
      </c>
      <c r="H52" s="30">
        <v>13682.9</v>
      </c>
      <c r="I52" s="30">
        <f t="shared" si="2"/>
        <v>1013.5481481481481</v>
      </c>
      <c r="J52" t="s">
        <v>169</v>
      </c>
      <c r="K52" t="s">
        <v>182</v>
      </c>
      <c r="L52">
        <v>75000</v>
      </c>
      <c r="M52" t="str">
        <f t="shared" si="6"/>
        <v>Y</v>
      </c>
      <c r="N52" t="str">
        <f t="shared" si="7"/>
        <v>FD13FCSBLA013</v>
      </c>
    </row>
    <row r="53" spans="1:14">
      <c r="A53" t="s">
        <v>237</v>
      </c>
      <c r="B53" t="str">
        <f t="shared" si="3"/>
        <v>HO</v>
      </c>
      <c r="C53" t="str">
        <f>VLOOKUP(B53,B$57:C111,2)</f>
        <v>Honda</v>
      </c>
      <c r="D53" t="str">
        <f t="shared" si="4"/>
        <v>ODY</v>
      </c>
      <c r="E53" t="str">
        <f t="shared" si="8"/>
        <v>Odyssey</v>
      </c>
      <c r="F53" t="str">
        <f t="shared" si="5"/>
        <v>14</v>
      </c>
      <c r="G53">
        <f t="shared" si="1"/>
        <v>12</v>
      </c>
      <c r="H53" s="30">
        <v>3708.1</v>
      </c>
      <c r="I53" s="30">
        <f t="shared" si="2"/>
        <v>296.64799999999997</v>
      </c>
      <c r="J53" t="s">
        <v>169</v>
      </c>
      <c r="K53" t="s">
        <v>206</v>
      </c>
      <c r="L53">
        <v>100000</v>
      </c>
      <c r="M53" t="str">
        <f t="shared" si="6"/>
        <v>Y</v>
      </c>
      <c r="N53" t="str">
        <f t="shared" si="7"/>
        <v>HO14ODYBLA041</v>
      </c>
    </row>
    <row r="57" spans="1:14">
      <c r="B57" t="s">
        <v>238</v>
      </c>
      <c r="C57" t="s">
        <v>239</v>
      </c>
      <c r="D57" t="s">
        <v>240</v>
      </c>
      <c r="E57" t="s">
        <v>241</v>
      </c>
    </row>
    <row r="58" spans="1:14">
      <c r="B58" t="s">
        <v>242</v>
      </c>
      <c r="C58" t="s">
        <v>243</v>
      </c>
      <c r="D58" t="s">
        <v>244</v>
      </c>
      <c r="E58" t="s">
        <v>245</v>
      </c>
    </row>
    <row r="59" spans="1:14">
      <c r="B59" t="s">
        <v>246</v>
      </c>
      <c r="C59" t="s">
        <v>247</v>
      </c>
      <c r="D59" t="s">
        <v>248</v>
      </c>
      <c r="E59" t="s">
        <v>249</v>
      </c>
    </row>
    <row r="60" spans="1:14">
      <c r="B60" t="s">
        <v>250</v>
      </c>
      <c r="C60" t="s">
        <v>251</v>
      </c>
      <c r="D60" t="s">
        <v>252</v>
      </c>
      <c r="E60" t="s">
        <v>253</v>
      </c>
    </row>
    <row r="61" spans="1:14">
      <c r="B61" t="s">
        <v>254</v>
      </c>
      <c r="C61" t="s">
        <v>255</v>
      </c>
      <c r="D61" t="s">
        <v>256</v>
      </c>
      <c r="E61" t="s">
        <v>257</v>
      </c>
    </row>
    <row r="62" spans="1:14">
      <c r="B62" t="s">
        <v>258</v>
      </c>
      <c r="C62" t="s">
        <v>259</v>
      </c>
      <c r="D62" t="s">
        <v>260</v>
      </c>
      <c r="E62" t="s">
        <v>261</v>
      </c>
    </row>
    <row r="63" spans="1:14">
      <c r="D63" t="s">
        <v>262</v>
      </c>
      <c r="E63" t="s">
        <v>263</v>
      </c>
    </row>
    <row r="64" spans="1:14">
      <c r="D64" t="s">
        <v>264</v>
      </c>
      <c r="E64" t="s">
        <v>265</v>
      </c>
    </row>
    <row r="65" spans="4:5">
      <c r="D65" t="s">
        <v>266</v>
      </c>
      <c r="E65" t="s">
        <v>267</v>
      </c>
    </row>
    <row r="66" spans="4:5">
      <c r="D66" t="s">
        <v>268</v>
      </c>
      <c r="E66" t="s">
        <v>269</v>
      </c>
    </row>
    <row r="67" spans="4:5">
      <c r="D67" t="s">
        <v>270</v>
      </c>
      <c r="E67" t="s">
        <v>271</v>
      </c>
    </row>
  </sheetData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scale="47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3B73-4B2C-47CF-B55D-7947016E1432}">
  <dimension ref="A3:B21"/>
  <sheetViews>
    <sheetView workbookViewId="0">
      <selection activeCell="B4" sqref="B4:B20"/>
    </sheetView>
  </sheetViews>
  <sheetFormatPr defaultRowHeight="14.4"/>
  <cols>
    <col min="1" max="1" width="12.5546875" bestFit="1" customWidth="1"/>
    <col min="2" max="2" width="13.109375" bestFit="1" customWidth="1"/>
  </cols>
  <sheetData>
    <row r="3" spans="1:2">
      <c r="A3" t="s">
        <v>148</v>
      </c>
      <c r="B3" t="s">
        <v>272</v>
      </c>
    </row>
    <row r="4" spans="1:2">
      <c r="A4" s="27" t="s">
        <v>175</v>
      </c>
      <c r="B4" s="31">
        <v>144647.69999999998</v>
      </c>
    </row>
    <row r="5" spans="1:2">
      <c r="A5" s="27" t="s">
        <v>167</v>
      </c>
      <c r="B5" s="31">
        <v>150656.40000000002</v>
      </c>
    </row>
    <row r="6" spans="1:2">
      <c r="A6" s="27" t="s">
        <v>172</v>
      </c>
      <c r="B6" s="31">
        <v>154427.9</v>
      </c>
    </row>
    <row r="7" spans="1:2">
      <c r="A7" s="27" t="s">
        <v>177</v>
      </c>
      <c r="B7" s="31">
        <v>179986</v>
      </c>
    </row>
    <row r="8" spans="1:2">
      <c r="A8" s="27" t="s">
        <v>191</v>
      </c>
      <c r="B8" s="31">
        <v>143640.70000000001</v>
      </c>
    </row>
    <row r="9" spans="1:2">
      <c r="A9" s="27" t="s">
        <v>188</v>
      </c>
      <c r="B9" s="31">
        <v>135078.20000000001</v>
      </c>
    </row>
    <row r="10" spans="1:2">
      <c r="A10" s="27" t="s">
        <v>186</v>
      </c>
      <c r="B10" s="31">
        <v>184693.8</v>
      </c>
    </row>
    <row r="11" spans="1:2">
      <c r="A11" s="27" t="s">
        <v>200</v>
      </c>
      <c r="B11" s="31">
        <v>127731.3</v>
      </c>
    </row>
    <row r="12" spans="1:2">
      <c r="A12" s="27" t="s">
        <v>206</v>
      </c>
      <c r="B12" s="31">
        <v>70964.899999999994</v>
      </c>
    </row>
    <row r="13" spans="1:2">
      <c r="A13" s="27" t="s">
        <v>211</v>
      </c>
      <c r="B13" s="31">
        <v>65315</v>
      </c>
    </row>
    <row r="14" spans="1:2">
      <c r="A14" s="27" t="s">
        <v>182</v>
      </c>
      <c r="B14" s="31">
        <v>138561.5</v>
      </c>
    </row>
    <row r="15" spans="1:2">
      <c r="A15" s="27" t="s">
        <v>184</v>
      </c>
      <c r="B15" s="31">
        <v>141229.4</v>
      </c>
    </row>
    <row r="16" spans="1:2">
      <c r="A16" s="27" t="s">
        <v>142</v>
      </c>
      <c r="B16" s="31">
        <v>305432.40000000002</v>
      </c>
    </row>
    <row r="17" spans="1:2">
      <c r="A17" s="27" t="s">
        <v>170</v>
      </c>
      <c r="B17" s="31">
        <v>177713.9</v>
      </c>
    </row>
    <row r="18" spans="1:2">
      <c r="A18" s="27" t="s">
        <v>220</v>
      </c>
      <c r="B18" s="31">
        <v>65964.899999999994</v>
      </c>
    </row>
    <row r="19" spans="1:2">
      <c r="A19" s="27" t="s">
        <v>180</v>
      </c>
      <c r="B19" s="31">
        <v>130601.59999999999</v>
      </c>
    </row>
    <row r="20" spans="1:2">
      <c r="A20" s="27" t="s">
        <v>233</v>
      </c>
      <c r="B20" s="31">
        <v>19341.7</v>
      </c>
    </row>
    <row r="21" spans="1:2">
      <c r="A21" s="27" t="s">
        <v>149</v>
      </c>
      <c r="B21" s="31">
        <v>2335987.2999999998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040E-530D-4164-B63A-C555CB168BAC}">
  <dimension ref="A1:M13"/>
  <sheetViews>
    <sheetView tabSelected="1" workbookViewId="0">
      <selection activeCell="L21" sqref="L21"/>
    </sheetView>
  </sheetViews>
  <sheetFormatPr defaultRowHeight="14.4"/>
  <cols>
    <col min="1" max="1" width="8.88671875" style="4"/>
    <col min="2" max="2" width="11.77734375" style="4" customWidth="1"/>
    <col min="3" max="3" width="11.5546875" style="18" customWidth="1"/>
    <col min="5" max="5" width="12.44140625" style="4" customWidth="1"/>
    <col min="6" max="6" width="13.109375" style="4" customWidth="1"/>
    <col min="7" max="7" width="15.44140625" style="4" customWidth="1"/>
  </cols>
  <sheetData>
    <row r="1" spans="1:13" s="28" customFormat="1" ht="28.8">
      <c r="A1" s="32"/>
      <c r="B1" s="32" t="s">
        <v>273</v>
      </c>
      <c r="C1" s="33" t="s">
        <v>274</v>
      </c>
      <c r="D1" s="28" t="s">
        <v>275</v>
      </c>
      <c r="E1" s="32" t="s">
        <v>276</v>
      </c>
      <c r="F1" s="32" t="s">
        <v>277</v>
      </c>
      <c r="G1" s="32" t="s">
        <v>278</v>
      </c>
    </row>
    <row r="2" spans="1:13">
      <c r="A2" s="4" t="s">
        <v>279</v>
      </c>
      <c r="B2" s="4">
        <v>20000</v>
      </c>
      <c r="C2" s="18">
        <v>0.09</v>
      </c>
      <c r="D2">
        <v>12</v>
      </c>
      <c r="E2" s="4">
        <f>B2*C2</f>
        <v>1800</v>
      </c>
      <c r="F2" s="4">
        <f>B2+E2</f>
        <v>21800</v>
      </c>
      <c r="G2" s="4">
        <f>F2/D2</f>
        <v>1816.6666666666667</v>
      </c>
    </row>
    <row r="3" spans="1:13">
      <c r="A3" s="4" t="s">
        <v>280</v>
      </c>
      <c r="B3" s="4">
        <v>20000</v>
      </c>
      <c r="C3" s="18">
        <v>0.08</v>
      </c>
      <c r="D3">
        <v>12</v>
      </c>
      <c r="E3" s="4">
        <f t="shared" ref="E3:E5" si="0">B3*C3</f>
        <v>1600</v>
      </c>
      <c r="F3" s="4">
        <f t="shared" ref="F3:F5" si="1">B3+E3</f>
        <v>21600</v>
      </c>
      <c r="G3" s="4">
        <f t="shared" ref="G3:G5" si="2">F3/D3</f>
        <v>1800</v>
      </c>
    </row>
    <row r="4" spans="1:13">
      <c r="A4" s="4" t="s">
        <v>281</v>
      </c>
      <c r="B4" s="4">
        <v>20000</v>
      </c>
      <c r="C4" s="18">
        <v>7.0000000000000007E-2</v>
      </c>
      <c r="D4">
        <v>12</v>
      </c>
      <c r="E4" s="4">
        <f t="shared" si="0"/>
        <v>1400.0000000000002</v>
      </c>
      <c r="F4" s="4">
        <f t="shared" si="1"/>
        <v>21400</v>
      </c>
      <c r="G4" s="4">
        <f t="shared" si="2"/>
        <v>1783.3333333333333</v>
      </c>
    </row>
    <row r="5" spans="1:13">
      <c r="A5" s="4" t="s">
        <v>282</v>
      </c>
      <c r="B5" s="4">
        <v>20000</v>
      </c>
      <c r="C5" s="18">
        <v>0.06</v>
      </c>
      <c r="D5">
        <v>12</v>
      </c>
      <c r="E5" s="4">
        <f t="shared" si="0"/>
        <v>1200</v>
      </c>
      <c r="F5" s="4">
        <f t="shared" si="1"/>
        <v>21200</v>
      </c>
      <c r="G5" s="4">
        <f t="shared" si="2"/>
        <v>1766.6666666666667</v>
      </c>
    </row>
    <row r="10" spans="1:13">
      <c r="I10" t="s">
        <v>99</v>
      </c>
    </row>
    <row r="13" spans="1:13">
      <c r="M13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OT</vt:lpstr>
      <vt:lpstr>School Marking Sheet</vt:lpstr>
      <vt:lpstr>Decision Chart</vt:lpstr>
      <vt:lpstr>Sales Report</vt:lpstr>
      <vt:lpstr>Pivot table</vt:lpstr>
      <vt:lpstr>car inventory</vt:lpstr>
      <vt:lpstr>P2</vt:lpstr>
      <vt:lpstr>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Kesara Lakpriya</dc:creator>
  <cp:lastModifiedBy>Kesara Lakpriya</cp:lastModifiedBy>
  <cp:lastPrinted>2026-06-23T09:02:19Z</cp:lastPrinted>
  <dcterms:created xsi:type="dcterms:W3CDTF">2026-06-20T05:43:26Z</dcterms:created>
  <dcterms:modified xsi:type="dcterms:W3CDTF">2026-06-23T09:07:34Z</dcterms:modified>
</cp:coreProperties>
</file>